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75" windowHeight="11460" activeTab="2"/>
  </bookViews>
  <sheets>
    <sheet name="Sheet1" sheetId="1" r:id="rId1"/>
    <sheet name="Sheet2" sheetId="6" r:id="rId2"/>
    <sheet name="Sheet3" sheetId="2" r:id="rId3"/>
    <sheet name="Sheet4" sheetId="5" r:id="rId4"/>
    <sheet name="Sheet8" sheetId="3" r:id="rId5"/>
    <sheet name="祈福收益计算" sheetId="4" r:id="rId6"/>
  </sheets>
  <definedNames>
    <definedName name="_xlnm._FilterDatabase" localSheetId="0" hidden="1">Sheet1!$A$1:$R$204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<sst xmlns="http://schemas.openxmlformats.org/spreadsheetml/2006/main" count="3151" uniqueCount="988">
  <si>
    <t>武将</t>
  </si>
  <si>
    <t>所属</t>
  </si>
  <si>
    <t>英雄帖位置</t>
  </si>
  <si>
    <t>等级</t>
  </si>
  <si>
    <t>力量基础</t>
  </si>
  <si>
    <t>力量成长</t>
  </si>
  <si>
    <t>力量值</t>
  </si>
  <si>
    <t>射击基础</t>
  </si>
  <si>
    <t>射击成长</t>
  </si>
  <si>
    <t>射击值</t>
  </si>
  <si>
    <t>血量基础</t>
  </si>
  <si>
    <t>血量成长</t>
  </si>
  <si>
    <t>血量值</t>
  </si>
  <si>
    <t>技能</t>
  </si>
  <si>
    <t>主将技</t>
  </si>
  <si>
    <t>神曹操</t>
  </si>
  <si>
    <t>火枪</t>
  </si>
  <si>
    <t>传奇</t>
  </si>
  <si>
    <t>散射电舞4</t>
  </si>
  <si>
    <t>归元镜像</t>
  </si>
  <si>
    <t>神曹国舅</t>
  </si>
  <si>
    <t>骑兵</t>
  </si>
  <si>
    <t>传说</t>
  </si>
  <si>
    <t>终仙</t>
  </si>
  <si>
    <t>财运亨通</t>
  </si>
  <si>
    <t>神斗士</t>
  </si>
  <si>
    <t>步兵</t>
  </si>
  <si>
    <t>斗士神斩4</t>
  </si>
  <si>
    <t>分裂狂魔</t>
  </si>
  <si>
    <t>神甘宁</t>
  </si>
  <si>
    <t>弓兵</t>
  </si>
  <si>
    <t>限定</t>
  </si>
  <si>
    <t>劫营</t>
  </si>
  <si>
    <t>神射</t>
  </si>
  <si>
    <t>神关羽</t>
  </si>
  <si>
    <t>神鼓舞4</t>
  </si>
  <si>
    <t>强袭乱舞4</t>
  </si>
  <si>
    <t>神郭嘉</t>
  </si>
  <si>
    <t>天妒英才</t>
  </si>
  <si>
    <t>神韩湘子</t>
  </si>
  <si>
    <t>绕梁之音</t>
  </si>
  <si>
    <t>余音之护</t>
  </si>
  <si>
    <t>神汉尼拔</t>
  </si>
  <si>
    <t>神话</t>
  </si>
  <si>
    <t>强无敌</t>
  </si>
  <si>
    <t>死袭4</t>
  </si>
  <si>
    <t>神汉钟离</t>
  </si>
  <si>
    <t>穿透弹3</t>
  </si>
  <si>
    <t>散射阵列4</t>
  </si>
  <si>
    <t>神何仙姑</t>
  </si>
  <si>
    <t>天恋箭破4</t>
  </si>
  <si>
    <t>净莲荷露</t>
  </si>
  <si>
    <t>神黄忠</t>
  </si>
  <si>
    <t>箭雨4</t>
  </si>
  <si>
    <t>火箭天袭4</t>
  </si>
  <si>
    <t>神蓝采和</t>
  </si>
  <si>
    <t>踏歌</t>
  </si>
  <si>
    <t>神李老君</t>
  </si>
  <si>
    <t>震撼冲击</t>
  </si>
  <si>
    <t>守护神4</t>
  </si>
  <si>
    <t>魔路西法</t>
  </si>
  <si>
    <t>堕天转生</t>
  </si>
  <si>
    <t>业火炎弹</t>
  </si>
  <si>
    <t>神吕布</t>
  </si>
  <si>
    <t>神影闪避</t>
  </si>
  <si>
    <t>神吕洞宾</t>
  </si>
  <si>
    <t>御剑术</t>
  </si>
  <si>
    <t>无影狂斩4</t>
  </si>
  <si>
    <t>神马超</t>
  </si>
  <si>
    <t>守护神</t>
  </si>
  <si>
    <t>半月华斩4</t>
  </si>
  <si>
    <t>神戚继光</t>
  </si>
  <si>
    <t>神恰卡</t>
  </si>
  <si>
    <t>神护体</t>
  </si>
  <si>
    <t>隐忍</t>
  </si>
  <si>
    <t>神孙策</t>
  </si>
  <si>
    <t>战斗狂热</t>
  </si>
  <si>
    <t>奋勇躬先</t>
  </si>
  <si>
    <t>神铁拐李</t>
  </si>
  <si>
    <t>爆裂射击</t>
  </si>
  <si>
    <t>审判</t>
  </si>
  <si>
    <t>神威灵顿</t>
  </si>
  <si>
    <t>/</t>
  </si>
  <si>
    <t>军纪</t>
  </si>
  <si>
    <t>统帅</t>
  </si>
  <si>
    <t>神夏侯惇</t>
  </si>
  <si>
    <t>致命反伤+</t>
  </si>
  <si>
    <t>坚忍</t>
  </si>
  <si>
    <t>↑更改此值以改变所有武将的星级</t>
  </si>
  <si>
    <t>小李广花荣</t>
  </si>
  <si>
    <t>毁灭暴击</t>
  </si>
  <si>
    <t>伤害加深3</t>
  </si>
  <si>
    <t>神杨戬</t>
  </si>
  <si>
    <t>斩击抗性8</t>
  </si>
  <si>
    <t>圣光</t>
  </si>
  <si>
    <t>神岳飞</t>
  </si>
  <si>
    <t>英勇善战</t>
  </si>
  <si>
    <t>精忠报国</t>
  </si>
  <si>
    <t>神张飞</t>
  </si>
  <si>
    <t>神护体4</t>
  </si>
  <si>
    <t>神张果老</t>
  </si>
  <si>
    <t>黑风袭</t>
  </si>
  <si>
    <t>通玄</t>
  </si>
  <si>
    <t>神张辽</t>
  </si>
  <si>
    <t>神赵云</t>
  </si>
  <si>
    <t>穿云刺4</t>
  </si>
  <si>
    <t>天霄神影</t>
  </si>
  <si>
    <t>神周瑜</t>
  </si>
  <si>
    <t>挣脱束缚</t>
  </si>
  <si>
    <t>神宙斯</t>
  </si>
  <si>
    <t>狂雷怒涛</t>
  </si>
  <si>
    <t>终焉审判</t>
  </si>
  <si>
    <t>神诸葛亮</t>
  </si>
  <si>
    <t>神左慈</t>
  </si>
  <si>
    <t>飞升</t>
  </si>
  <si>
    <t>羽化</t>
  </si>
  <si>
    <t>圣雷米勒</t>
  </si>
  <si>
    <t>雷罚</t>
  </si>
  <si>
    <t>←0-5之间值</t>
  </si>
  <si>
    <t>黑化阿基里斯</t>
  </si>
  <si>
    <t>稀有</t>
  </si>
  <si>
    <t>冥河加护</t>
  </si>
  <si>
    <t>顺劈斩</t>
  </si>
  <si>
    <t>黑化阿瑞斯</t>
  </si>
  <si>
    <t>卓越</t>
  </si>
  <si>
    <t>枪弹抗性8</t>
  </si>
  <si>
    <t>投射物抗性5</t>
  </si>
  <si>
    <t>黑化狗剩</t>
  </si>
  <si>
    <t>无影狂斩</t>
  </si>
  <si>
    <t>枪弹抗性4</t>
  </si>
  <si>
    <t>黑化老五</t>
  </si>
  <si>
    <t>黑羽箭</t>
  </si>
  <si>
    <t>箭雨3</t>
  </si>
  <si>
    <t>黑化金兀术</t>
  </si>
  <si>
    <t>分身5</t>
  </si>
  <si>
    <t>猛冲2</t>
  </si>
  <si>
    <t>黑化丘比特</t>
  </si>
  <si>
    <t>火箭烈3</t>
  </si>
  <si>
    <t>爱心箭3</t>
  </si>
  <si>
    <t>黑化圣诞老人</t>
  </si>
  <si>
    <t>史诗</t>
  </si>
  <si>
    <t>霸体4</t>
  </si>
  <si>
    <t>护甲3</t>
  </si>
  <si>
    <t>黑化周瑜</t>
  </si>
  <si>
    <t>火箭烈4</t>
  </si>
  <si>
    <t>火计</t>
  </si>
  <si>
    <t>黑化诸葛亮</t>
  </si>
  <si>
    <t>爆炸弹3</t>
  </si>
  <si>
    <t>阿凡提</t>
  </si>
  <si>
    <t>普通</t>
  </si>
  <si>
    <t>野蛮冲撞4</t>
  </si>
  <si>
    <t>冲击抗性5</t>
  </si>
  <si>
    <t>阿基里斯</t>
  </si>
  <si>
    <t>守护者</t>
  </si>
  <si>
    <t>震荡波3</t>
  </si>
  <si>
    <t>阿瑞斯</t>
  </si>
  <si>
    <t>战争之吼</t>
  </si>
  <si>
    <t>阿育王</t>
  </si>
  <si>
    <t>生命之歌3</t>
  </si>
  <si>
    <t>多重攻击4</t>
  </si>
  <si>
    <t>埃及艳后</t>
  </si>
  <si>
    <t>骑兵特攻5</t>
  </si>
  <si>
    <t>白起</t>
  </si>
  <si>
    <t>战吼3</t>
  </si>
  <si>
    <t>彼得大帝</t>
  </si>
  <si>
    <t>骑兵特攻4</t>
  </si>
  <si>
    <t>强袭2</t>
  </si>
  <si>
    <t>波斯王子</t>
  </si>
  <si>
    <t>多重射击4</t>
  </si>
  <si>
    <t>步兵特攻4</t>
  </si>
  <si>
    <t>伯伦希尔</t>
  </si>
  <si>
    <t>防护盾4</t>
  </si>
  <si>
    <t>女武神之力</t>
  </si>
  <si>
    <t>曹操</t>
  </si>
  <si>
    <t>多重射击3</t>
  </si>
  <si>
    <t>投射物抗性4</t>
  </si>
  <si>
    <t>曹洪</t>
  </si>
  <si>
    <t>献马</t>
  </si>
  <si>
    <t>查理一世</t>
  </si>
  <si>
    <t>破天穿心3</t>
  </si>
  <si>
    <t>常遇春</t>
  </si>
  <si>
    <t>遇春吞噬</t>
  </si>
  <si>
    <t>枪弹抗性5</t>
  </si>
  <si>
    <t>成吉思汗</t>
  </si>
  <si>
    <t>弓兵特攻4</t>
  </si>
  <si>
    <t>火箭烈</t>
  </si>
  <si>
    <t>程咬金</t>
  </si>
  <si>
    <t>持国天王</t>
  </si>
  <si>
    <t>至臻</t>
  </si>
  <si>
    <t>骑兵特攻10</t>
  </si>
  <si>
    <t>步兵特攻8</t>
  </si>
  <si>
    <t>出林龙邹渊</t>
  </si>
  <si>
    <t>大刀关胜</t>
  </si>
  <si>
    <t>震荡波4</t>
  </si>
  <si>
    <t>大轮明王</t>
  </si>
  <si>
    <t>枪弹抗性3</t>
  </si>
  <si>
    <t>多重攻击3</t>
  </si>
  <si>
    <t>德川家康</t>
  </si>
  <si>
    <t>步兵特攻3</t>
  </si>
  <si>
    <t>散射</t>
  </si>
  <si>
    <t>狄青</t>
  </si>
  <si>
    <t>散射爆3</t>
  </si>
  <si>
    <t>典韦</t>
  </si>
  <si>
    <t>貂蝉</t>
  </si>
  <si>
    <t>排箭3</t>
  </si>
  <si>
    <t>多闻天王</t>
  </si>
  <si>
    <t>步兵特攻10</t>
  </si>
  <si>
    <t>腓力二世</t>
  </si>
  <si>
    <t>腓列特一世</t>
  </si>
  <si>
    <t>寒冰之箭3</t>
  </si>
  <si>
    <t>移形换影</t>
  </si>
  <si>
    <t>费边</t>
  </si>
  <si>
    <t>致命反伤</t>
  </si>
  <si>
    <t>丰臣秀吉</t>
  </si>
  <si>
    <t>枪弹抗性2</t>
  </si>
  <si>
    <t>多重攻击2</t>
  </si>
  <si>
    <t>甘宁</t>
  </si>
  <si>
    <t>弓兵特攻3</t>
  </si>
  <si>
    <t>排箭</t>
  </si>
  <si>
    <t>干将</t>
  </si>
  <si>
    <t>意志传承</t>
  </si>
  <si>
    <t>索魂击</t>
  </si>
  <si>
    <t>狗剩</t>
  </si>
  <si>
    <t>步兵特攻2</t>
  </si>
  <si>
    <t>关羽</t>
  </si>
  <si>
    <t>冲击抗性3</t>
  </si>
  <si>
    <t>广目天王</t>
  </si>
  <si>
    <t>投射物抗性10</t>
  </si>
  <si>
    <t>哈德罗</t>
  </si>
  <si>
    <t>哈斯德鲁巴</t>
  </si>
  <si>
    <t>强袭3</t>
  </si>
  <si>
    <t>海陵王</t>
  </si>
  <si>
    <t>斩击抗性2</t>
  </si>
  <si>
    <t>韩信</t>
  </si>
  <si>
    <t>散射轰3</t>
  </si>
  <si>
    <t>汉谟拉比</t>
  </si>
  <si>
    <t>狂暴</t>
  </si>
  <si>
    <t>汉尼拔</t>
  </si>
  <si>
    <t>蔑视</t>
  </si>
  <si>
    <t>统领</t>
  </si>
  <si>
    <t>忽必烈</t>
  </si>
  <si>
    <t>斩击抗性3</t>
  </si>
  <si>
    <t>华佗</t>
  </si>
  <si>
    <t>刮骨疗毒</t>
  </si>
  <si>
    <t>妙手回春</t>
  </si>
  <si>
    <t>黄月英</t>
  </si>
  <si>
    <t>狼牙</t>
  </si>
  <si>
    <t>奇兵特攻4</t>
  </si>
  <si>
    <t>黄忠</t>
  </si>
  <si>
    <t>十字箭3</t>
  </si>
  <si>
    <t>霍去病</t>
  </si>
  <si>
    <t>骑兵易损4</t>
  </si>
  <si>
    <t>强袭杀3</t>
  </si>
  <si>
    <t>姜邯赞</t>
  </si>
  <si>
    <t>姜维</t>
  </si>
  <si>
    <t>闪电箭3</t>
  </si>
  <si>
    <t>金兀术</t>
  </si>
  <si>
    <t>冲击抗性</t>
  </si>
  <si>
    <t>骑兵特攻2</t>
  </si>
  <si>
    <t>居鲁士大帝</t>
  </si>
  <si>
    <t>火枪特攻4</t>
  </si>
  <si>
    <t>卷帘大将</t>
  </si>
  <si>
    <t>战盾3</t>
  </si>
  <si>
    <t>凯撒大帝</t>
  </si>
  <si>
    <t>兰陵王</t>
  </si>
  <si>
    <t>毁灭3</t>
  </si>
  <si>
    <t>老五</t>
  </si>
  <si>
    <t>火枪特攻2</t>
  </si>
  <si>
    <t>火箭</t>
  </si>
  <si>
    <t>李广</t>
  </si>
  <si>
    <t>李靖</t>
  </si>
  <si>
    <t>野蛮冲撞3</t>
  </si>
  <si>
    <t>李如松</t>
  </si>
  <si>
    <t>铁壁</t>
  </si>
  <si>
    <t>冲击波3</t>
  </si>
  <si>
    <t>李世民</t>
  </si>
  <si>
    <t>召唤军队</t>
  </si>
  <si>
    <t>李舜臣</t>
  </si>
  <si>
    <t>多重射击</t>
  </si>
  <si>
    <t>投射物抗性2</t>
  </si>
  <si>
    <t>李元霸</t>
  </si>
  <si>
    <t>梁红玉</t>
  </si>
  <si>
    <t>列奥尼达</t>
  </si>
  <si>
    <t>林则徐</t>
  </si>
  <si>
    <t>步兵特攻5</t>
  </si>
  <si>
    <t>刘备</t>
  </si>
  <si>
    <t>六耳猕猴</t>
  </si>
  <si>
    <t>猕猴化身</t>
  </si>
  <si>
    <t>路易十四</t>
  </si>
  <si>
    <t>吕布</t>
  </si>
  <si>
    <t>吕蒙</t>
  </si>
  <si>
    <t>沉默</t>
  </si>
  <si>
    <t>守护神2</t>
  </si>
  <si>
    <t>马超</t>
  </si>
  <si>
    <t>分身</t>
  </si>
  <si>
    <t>麦哲伦</t>
  </si>
  <si>
    <t>魔别西卜</t>
  </si>
  <si>
    <t>暴食</t>
  </si>
  <si>
    <t>蝇王</t>
  </si>
  <si>
    <t>星级↓</t>
  </si>
  <si>
    <t>魔利维坦</t>
  </si>
  <si>
    <t>天幕列剑4</t>
  </si>
  <si>
    <t>嫉恨</t>
  </si>
  <si>
    <t>魔玛门</t>
  </si>
  <si>
    <t>贪婪祈愿</t>
  </si>
  <si>
    <t>魔撒旦</t>
  </si>
  <si>
    <t>混乱冲击</t>
  </si>
  <si>
    <t>恶魔仪式</t>
  </si>
  <si>
    <t>魔萨麦尔</t>
  </si>
  <si>
    <t>木华黎</t>
  </si>
  <si>
    <t>投射物抗性3</t>
  </si>
  <si>
    <t>火箭3</t>
  </si>
  <si>
    <t>慕容恪</t>
  </si>
  <si>
    <t>英勇赞歌</t>
  </si>
  <si>
    <t>穆桂英</t>
  </si>
  <si>
    <t>拿破仑</t>
  </si>
  <si>
    <t>散射爆2</t>
  </si>
  <si>
    <t>哪吒</t>
  </si>
  <si>
    <t>莲影分身</t>
  </si>
  <si>
    <t>牛魔王</t>
  </si>
  <si>
    <t>金刚加护</t>
  </si>
  <si>
    <t>欧冶子</t>
  </si>
  <si>
    <t>神兵铸成</t>
  </si>
  <si>
    <t>匠心</t>
  </si>
  <si>
    <t>庞培</t>
  </si>
  <si>
    <t>霹雳火秦明</t>
  </si>
  <si>
    <t>普今</t>
  </si>
  <si>
    <t>普罗米修斯</t>
  </si>
  <si>
    <t>强袭杀4</t>
  </si>
  <si>
    <t>戚继光</t>
  </si>
  <si>
    <t>齐天大圣</t>
  </si>
  <si>
    <t>地煞幻象</t>
  </si>
  <si>
    <t>恰卡</t>
  </si>
  <si>
    <t>广域散射</t>
  </si>
  <si>
    <t>致残打击</t>
  </si>
  <si>
    <t>青眼虎李云</t>
  </si>
  <si>
    <t>秦良玉</t>
  </si>
  <si>
    <t>穿云刺3</t>
  </si>
  <si>
    <t>秦琼</t>
  </si>
  <si>
    <t>门神</t>
  </si>
  <si>
    <t>秦始皇</t>
  </si>
  <si>
    <t>帝王召唤</t>
  </si>
  <si>
    <t>猛冲3</t>
  </si>
  <si>
    <t>丘比特</t>
  </si>
  <si>
    <t>剑雨3</t>
  </si>
  <si>
    <t>屈原</t>
  </si>
  <si>
    <t>忧国</t>
  </si>
  <si>
    <t>投江</t>
  </si>
  <si>
    <t>冉闵</t>
  </si>
  <si>
    <t>萨拉丁</t>
  </si>
  <si>
    <t>塞壬</t>
  </si>
  <si>
    <t>迷航之歌</t>
  </si>
  <si>
    <t>傻根</t>
  </si>
  <si>
    <t>多重攻击</t>
  </si>
  <si>
    <t>圣诞老人</t>
  </si>
  <si>
    <t>生命之歌</t>
  </si>
  <si>
    <t>圣诞麋鹿</t>
  </si>
  <si>
    <t>幸运星</t>
  </si>
  <si>
    <t>司马懿</t>
  </si>
  <si>
    <t>斯巴达克斯</t>
  </si>
  <si>
    <t>冲击抗性4</t>
  </si>
  <si>
    <t>斯大林</t>
  </si>
  <si>
    <t>散射爆</t>
  </si>
  <si>
    <t>松赞干布</t>
  </si>
  <si>
    <t>骑兵特攻3</t>
  </si>
  <si>
    <t>苏木阿布</t>
  </si>
  <si>
    <t xml:space="preserve">骑兵 </t>
  </si>
  <si>
    <t>苏三娘</t>
  </si>
  <si>
    <t>破甲3</t>
  </si>
  <si>
    <t>苏沃洛夫</t>
  </si>
  <si>
    <t>孙策</t>
  </si>
  <si>
    <t>孙尚香</t>
  </si>
  <si>
    <t>孙子</t>
  </si>
  <si>
    <t>太史慈</t>
  </si>
  <si>
    <t>百步穿杨3</t>
  </si>
  <si>
    <t>唐玄奘</t>
  </si>
  <si>
    <t>战吼4</t>
  </si>
  <si>
    <t>天蓬元帅</t>
  </si>
  <si>
    <t>天罡幻象</t>
  </si>
  <si>
    <t>瓦尔基里</t>
  </si>
  <si>
    <t>英灵强袭</t>
  </si>
  <si>
    <t>完颜阿骨打</t>
  </si>
  <si>
    <t>多重射击2</t>
  </si>
  <si>
    <t>万圣射手</t>
  </si>
  <si>
    <t>王翦</t>
  </si>
  <si>
    <t>旺财</t>
  </si>
  <si>
    <t>威廉华士</t>
  </si>
  <si>
    <t>天坠列箭</t>
  </si>
  <si>
    <t>威灵顿</t>
  </si>
  <si>
    <t>文斗</t>
  </si>
  <si>
    <t>尉迟恭</t>
  </si>
  <si>
    <t>乌迪诺</t>
  </si>
  <si>
    <t>乌勒尔</t>
  </si>
  <si>
    <t>屋大维</t>
  </si>
  <si>
    <t>吴起</t>
  </si>
  <si>
    <t>虚实</t>
  </si>
  <si>
    <t>落雷</t>
  </si>
  <si>
    <t>武则天</t>
  </si>
  <si>
    <t>十字箭4</t>
  </si>
  <si>
    <t>熙德</t>
  </si>
  <si>
    <t>投射物抗性8</t>
  </si>
  <si>
    <t>夏侯惇</t>
  </si>
  <si>
    <t>夏侯渊</t>
  </si>
  <si>
    <t>奇袭</t>
  </si>
  <si>
    <t>项羽</t>
  </si>
  <si>
    <t>匈奴王</t>
  </si>
  <si>
    <t>神风列箭3</t>
  </si>
  <si>
    <t>奇兵特攻5</t>
  </si>
  <si>
    <t>徐晃</t>
  </si>
  <si>
    <t>长驱</t>
  </si>
  <si>
    <t>薛仁贵</t>
  </si>
  <si>
    <t>爆裂箭3</t>
  </si>
  <si>
    <t>薛西斯一世</t>
  </si>
  <si>
    <t>雅典娜</t>
  </si>
  <si>
    <t>勇武护佑</t>
  </si>
  <si>
    <t>亚历山大</t>
  </si>
  <si>
    <t>杨贵妃</t>
  </si>
  <si>
    <t>杨延昭</t>
  </si>
  <si>
    <t>养由基</t>
  </si>
  <si>
    <t>乙支文德</t>
  </si>
  <si>
    <t>强袭</t>
  </si>
  <si>
    <t>于禁</t>
  </si>
  <si>
    <t>治军</t>
  </si>
  <si>
    <t>岳飞</t>
  </si>
  <si>
    <t>武穆遗书</t>
  </si>
  <si>
    <t>岳云</t>
  </si>
  <si>
    <t>鏖战</t>
  </si>
  <si>
    <t>增长天王</t>
  </si>
  <si>
    <t>枪弹抗性10</t>
  </si>
  <si>
    <t>张飞</t>
  </si>
  <si>
    <t>张郃</t>
  </si>
  <si>
    <t>张辽</t>
  </si>
  <si>
    <t>张星彩</t>
  </si>
  <si>
    <t>百步穿杨</t>
  </si>
  <si>
    <t>力量汲取</t>
  </si>
  <si>
    <t>赵云</t>
  </si>
  <si>
    <t>散射3</t>
  </si>
  <si>
    <t>哲别</t>
  </si>
  <si>
    <t>贞德</t>
  </si>
  <si>
    <t>蓝色火焰3</t>
  </si>
  <si>
    <t>织田信长</t>
  </si>
  <si>
    <t>弓兵特攻2</t>
  </si>
  <si>
    <t>周瑜</t>
  </si>
  <si>
    <t>火枪特攻3</t>
  </si>
  <si>
    <t>朱元璋</t>
  </si>
  <si>
    <t>强运</t>
  </si>
  <si>
    <t>诸葛亮</t>
  </si>
  <si>
    <t>祖逖</t>
  </si>
  <si>
    <t>敖甲</t>
  </si>
  <si>
    <t>散射震裂4</t>
  </si>
  <si>
    <t>敖乙</t>
  </si>
  <si>
    <t>敖丙</t>
  </si>
  <si>
    <t>神影闪避2</t>
  </si>
  <si>
    <t>强运2</t>
  </si>
  <si>
    <t>敖丁</t>
  </si>
  <si>
    <t>皮肤名称</t>
  </si>
  <si>
    <t>生命</t>
  </si>
  <si>
    <t>攻击</t>
  </si>
  <si>
    <t>防御</t>
  </si>
  <si>
    <t>僵尸步兵皮肤</t>
  </si>
  <si>
    <t>僵尸弓兵皮肤</t>
  </si>
  <si>
    <t>僵尸火枪皮肤</t>
  </si>
  <si>
    <t>僵尸骑兵皮肤</t>
  </si>
  <si>
    <t>老鼠步兵皮肤</t>
  </si>
  <si>
    <t>老鼠弓兵皮肤</t>
  </si>
  <si>
    <t>老鼠火枪皮肤</t>
  </si>
  <si>
    <t>老鼠骑兵皮肤</t>
  </si>
  <si>
    <t>翼骑兵皮肤</t>
  </si>
  <si>
    <t>条顿骑兵皮肤</t>
  </si>
  <si>
    <t>骑兵加成51%</t>
  </si>
  <si>
    <t>英国火枪皮肤</t>
  </si>
  <si>
    <t>猛虎骑兵皮肤</t>
  </si>
  <si>
    <t>金甲步兵皮肤</t>
  </si>
  <si>
    <t>精灵弓箭手皮肤</t>
  </si>
  <si>
    <t>南瓜火枪皮肤</t>
  </si>
  <si>
    <t>兵种</t>
  </si>
  <si>
    <t>倍率</t>
  </si>
  <si>
    <t>阿拉伯步兵</t>
  </si>
  <si>
    <t>埃及步兵</t>
  </si>
  <si>
    <t>白袍军步兵</t>
  </si>
  <si>
    <t>白熊步兵</t>
  </si>
  <si>
    <t>波斯步兵</t>
  </si>
  <si>
    <t>曹魏步兵</t>
  </si>
  <si>
    <t>稻草人步兵</t>
  </si>
  <si>
    <t>东吴步兵</t>
  </si>
  <si>
    <t>东瀛步兵</t>
  </si>
  <si>
    <t>刚果步兵</t>
  </si>
  <si>
    <t>高丽步兵</t>
  </si>
  <si>
    <t>哥特禁卫军步兵</t>
  </si>
  <si>
    <t>汉军步兵</t>
  </si>
  <si>
    <t>加纳步兵</t>
  </si>
  <si>
    <t>迦太基步兵</t>
  </si>
  <si>
    <t>金朝步兵</t>
  </si>
  <si>
    <t>锦衣卫步兵</t>
  </si>
  <si>
    <t>狼人步兵</t>
  </si>
  <si>
    <t>罗马步兵</t>
  </si>
  <si>
    <t>罗马雇佣军步兵</t>
  </si>
  <si>
    <t>马六甲长枪兵步兵</t>
  </si>
  <si>
    <t>美洲虎步兵</t>
  </si>
  <si>
    <t>蒙古步兵</t>
  </si>
  <si>
    <t>蒙面鸡步兵</t>
  </si>
  <si>
    <t>莫卧步兵</t>
  </si>
  <si>
    <t>南越熊步兵</t>
  </si>
  <si>
    <t>女子步兵</t>
  </si>
  <si>
    <t>蒲甘步兵</t>
  </si>
  <si>
    <t>戚家军步兵</t>
  </si>
  <si>
    <t>秦军步兵</t>
  </si>
  <si>
    <t>桑海步兵</t>
  </si>
  <si>
    <t>沙俄步兵</t>
  </si>
  <si>
    <t>蜀汉步兵</t>
  </si>
  <si>
    <t>苏美步兵</t>
  </si>
  <si>
    <t>所罗门步兵</t>
  </si>
  <si>
    <t>唐军步兵</t>
  </si>
  <si>
    <t>条顿武士</t>
  </si>
  <si>
    <t>吐蕃步兵</t>
  </si>
  <si>
    <t>维京海盗短刃兵</t>
  </si>
  <si>
    <t>哮天犬</t>
  </si>
  <si>
    <t>印度步兵</t>
  </si>
  <si>
    <t>岳家军步兵</t>
  </si>
  <si>
    <t>爪哇长枪兵</t>
  </si>
  <si>
    <t>祖鲁步兵</t>
  </si>
  <si>
    <t>阿拉伯弓兵</t>
  </si>
  <si>
    <t>埃及弓兵</t>
  </si>
  <si>
    <t>白袍军弓兵</t>
  </si>
  <si>
    <t>波斯弓兵</t>
  </si>
  <si>
    <t>曹魏弓兵</t>
  </si>
  <si>
    <t>东吴弓兵</t>
  </si>
  <si>
    <t>东瀛弓兵</t>
  </si>
  <si>
    <t>刚果投矛手</t>
  </si>
  <si>
    <t>高丽弓兵</t>
  </si>
  <si>
    <t>哥特禁卫军弓兵</t>
  </si>
  <si>
    <t>汉军弓兵</t>
  </si>
  <si>
    <t>加纳投手</t>
  </si>
  <si>
    <t>金朝弓兵</t>
  </si>
  <si>
    <t>锦衣卫弓兵</t>
  </si>
  <si>
    <t>骷髅弓兵</t>
  </si>
  <si>
    <t>罗马弓兵</t>
  </si>
  <si>
    <t>罗马雇佣军弓兵</t>
  </si>
  <si>
    <t>马六甲长枪兵弓兵</t>
  </si>
  <si>
    <t>美洲虎弓兵</t>
  </si>
  <si>
    <t>蒙古弓兵</t>
  </si>
  <si>
    <t>蒙面鸡弓兵</t>
  </si>
  <si>
    <t>莫卧弓兵</t>
  </si>
  <si>
    <t>南越弓兵</t>
  </si>
  <si>
    <t>女子弓兵</t>
  </si>
  <si>
    <t>蒲甘弓兵</t>
  </si>
  <si>
    <t>戚家军弓兵</t>
  </si>
  <si>
    <t>秦军弓兵</t>
  </si>
  <si>
    <t>桑海弓兵</t>
  </si>
  <si>
    <t>沙俄弓兵</t>
  </si>
  <si>
    <t>蜀汉弓兵</t>
  </si>
  <si>
    <t>苏美弓兵</t>
  </si>
  <si>
    <t>所罗门弓兵</t>
  </si>
  <si>
    <t>唐军弓兵</t>
  </si>
  <si>
    <t>吐蕃弓兵</t>
  </si>
  <si>
    <t>维京海盗投掷手</t>
  </si>
  <si>
    <t>象骑兵射手</t>
  </si>
  <si>
    <t>印度弓兵</t>
  </si>
  <si>
    <t>岳家军弓兵</t>
  </si>
  <si>
    <t>爪哇弓兵</t>
  </si>
  <si>
    <t>祖鲁弓兵</t>
  </si>
  <si>
    <t>阿拉伯火枪</t>
  </si>
  <si>
    <t>埃及火枪</t>
  </si>
  <si>
    <t>白袍军火枪</t>
  </si>
  <si>
    <t>波斯火枪</t>
  </si>
  <si>
    <t>曹魏火枪</t>
  </si>
  <si>
    <t>东吴火枪</t>
  </si>
  <si>
    <t>东瀛火枪</t>
  </si>
  <si>
    <t>法兰西散兵</t>
  </si>
  <si>
    <t>刚果火枪</t>
  </si>
  <si>
    <t>高丽火枪</t>
  </si>
  <si>
    <t>哥特禁卫军火枪</t>
  </si>
  <si>
    <t>汉军火枪</t>
  </si>
  <si>
    <t>加纳火枪</t>
  </si>
  <si>
    <t>迦太基火枪</t>
  </si>
  <si>
    <t>金朝火枪</t>
  </si>
  <si>
    <t>锦衣卫火枪</t>
  </si>
  <si>
    <t>罗马火枪</t>
  </si>
  <si>
    <t>罗马雇佣军火枪</t>
  </si>
  <si>
    <t>马六甲火蝎火枪兵</t>
  </si>
  <si>
    <t>美洲虎火枪</t>
  </si>
  <si>
    <t>蒙古火枪</t>
  </si>
  <si>
    <t>蒙面鸡火枪</t>
  </si>
  <si>
    <t>莫卧火枪</t>
  </si>
  <si>
    <t>南越火枪</t>
  </si>
  <si>
    <t>女子火枪</t>
  </si>
  <si>
    <t>蒲甘火枪</t>
  </si>
  <si>
    <t>戚家军火枪</t>
  </si>
  <si>
    <t>秦军火枪</t>
  </si>
  <si>
    <t>桑海火枪</t>
  </si>
  <si>
    <t>沙俄火枪</t>
  </si>
  <si>
    <t>蜀汉火枪</t>
  </si>
  <si>
    <t>苏美火枪</t>
  </si>
  <si>
    <t>所罗门火枪</t>
  </si>
  <si>
    <t>唐军火枪</t>
  </si>
  <si>
    <t>吐蕃火枪</t>
  </si>
  <si>
    <t>维京海盗火枪</t>
  </si>
  <si>
    <t>印度火枪</t>
  </si>
  <si>
    <t>岳家军火枪</t>
  </si>
  <si>
    <t>爪哇火枪兵</t>
  </si>
  <si>
    <t>祖鲁</t>
  </si>
  <si>
    <t>阿拉伯</t>
  </si>
  <si>
    <t>埃及</t>
  </si>
  <si>
    <t>白袍军</t>
  </si>
  <si>
    <t>斑马</t>
  </si>
  <si>
    <t>波斯象兵</t>
  </si>
  <si>
    <t>波斯</t>
  </si>
  <si>
    <t>曹魏</t>
  </si>
  <si>
    <t>东吴</t>
  </si>
  <si>
    <t>东瀛</t>
  </si>
  <si>
    <t>刚果</t>
  </si>
  <si>
    <t>高丽</t>
  </si>
  <si>
    <t>哥特近卫军</t>
  </si>
  <si>
    <t>汉军</t>
  </si>
  <si>
    <t>加纳</t>
  </si>
  <si>
    <t>迦太基</t>
  </si>
  <si>
    <t>金朝</t>
  </si>
  <si>
    <t>锦衣卫</t>
  </si>
  <si>
    <t>狂暴象</t>
  </si>
  <si>
    <t>罗马雇佣</t>
  </si>
  <si>
    <t>罗马</t>
  </si>
  <si>
    <t>33%雇佣兵27%</t>
  </si>
  <si>
    <t>马六甲</t>
  </si>
  <si>
    <t>美洲虎战士</t>
  </si>
  <si>
    <t>蒙古</t>
  </si>
  <si>
    <t>蒙面鸡战队</t>
  </si>
  <si>
    <t>莫卧</t>
  </si>
  <si>
    <t>南越</t>
  </si>
  <si>
    <t>年兽</t>
  </si>
  <si>
    <t>女子部队</t>
  </si>
  <si>
    <t>欧洲枪骑兵</t>
  </si>
  <si>
    <t>蒲甘</t>
  </si>
  <si>
    <t>戚家军</t>
  </si>
  <si>
    <t>秦军</t>
  </si>
  <si>
    <t>桑海</t>
  </si>
  <si>
    <t>沙俄</t>
  </si>
  <si>
    <t>蜀汉</t>
  </si>
  <si>
    <t>苏美</t>
  </si>
  <si>
    <t>所罗门</t>
  </si>
  <si>
    <t>唐军</t>
  </si>
  <si>
    <t>条顿骑兵</t>
  </si>
  <si>
    <t>吐蕃</t>
  </si>
  <si>
    <t>维京海盗</t>
  </si>
  <si>
    <t>印度</t>
  </si>
  <si>
    <t>岳家军</t>
  </si>
  <si>
    <t>爪哇水牛</t>
  </si>
  <si>
    <t>物品</t>
  </si>
  <si>
    <t>价格</t>
  </si>
  <si>
    <t>属性</t>
  </si>
  <si>
    <t>一级普通宝石</t>
  </si>
  <si>
    <t>二级普通宝石</t>
  </si>
  <si>
    <t>三级普通宝石</t>
  </si>
  <si>
    <t>四级普通宝石</t>
  </si>
  <si>
    <t>额外全体士兵10%，5%</t>
  </si>
  <si>
    <t>五级普通宝石</t>
  </si>
  <si>
    <t>六级普通宝石</t>
  </si>
  <si>
    <t>额外主副将增幅4个宝石加起来再+10%，15%</t>
  </si>
  <si>
    <t>七级普通宝石</t>
  </si>
  <si>
    <t>八级普通宝石</t>
  </si>
  <si>
    <t>额外全体武将增幅4个宝石加起来再+10%，30%</t>
  </si>
  <si>
    <t>九级普通宝石</t>
  </si>
  <si>
    <t>十级普通宝石</t>
  </si>
  <si>
    <t>普通宝石</t>
  </si>
  <si>
    <t>1，2，3，5，10；15，20，30，50，70</t>
  </si>
  <si>
    <t>一级攻击宝石</t>
  </si>
  <si>
    <t>二级攻击宝石</t>
  </si>
  <si>
    <t>三级攻击宝石</t>
  </si>
  <si>
    <t>四级攻击宝石</t>
  </si>
  <si>
    <t>五级攻击宝石</t>
  </si>
  <si>
    <t>六级攻击宝石</t>
  </si>
  <si>
    <t>七级攻击宝石</t>
  </si>
  <si>
    <t>八级攻击宝石</t>
  </si>
  <si>
    <t>九级攻击宝石</t>
  </si>
  <si>
    <t>十级攻击宝石</t>
  </si>
  <si>
    <t>一级防御宝石</t>
  </si>
  <si>
    <t>二级防御宝石</t>
  </si>
  <si>
    <t>三级防御宝石</t>
  </si>
  <si>
    <t>四级防御宝石</t>
  </si>
  <si>
    <t>五级防御宝石</t>
  </si>
  <si>
    <t>六级防御宝石</t>
  </si>
  <si>
    <t>七级防御宝石</t>
  </si>
  <si>
    <t>八级防御宝石</t>
  </si>
  <si>
    <t>九级防御宝石</t>
  </si>
  <si>
    <t>十级防御宝石</t>
  </si>
  <si>
    <t>一级属性宝石</t>
  </si>
  <si>
    <t>二级属性宝石</t>
  </si>
  <si>
    <t>三级属性宝石</t>
  </si>
  <si>
    <t>四级属性宝石</t>
  </si>
  <si>
    <t>15%/全体士兵30%</t>
  </si>
  <si>
    <t>五级属性宝石</t>
  </si>
  <si>
    <t>六级属性宝石</t>
  </si>
  <si>
    <t>45%/主副将增幅4个宝石加起来再+10%</t>
  </si>
  <si>
    <t>七级属性宝石</t>
  </si>
  <si>
    <t>八级属性宝石</t>
  </si>
  <si>
    <t>90%/全体武将增幅4个宝石加起来再+30%</t>
  </si>
  <si>
    <t>九级属性宝石</t>
  </si>
  <si>
    <t>十级属性宝石</t>
  </si>
  <si>
    <t>属性宝石</t>
  </si>
  <si>
    <t>3，6，9，15，30；45，60，90，150，225</t>
  </si>
  <si>
    <t>每日活跃度</t>
  </si>
  <si>
    <t>30炮，60钻石，90宝石，120时间符，150神器，180紫通</t>
  </si>
  <si>
    <t>景观树</t>
  </si>
  <si>
    <t>瞭望塔</t>
  </si>
  <si>
    <t>倒福照壁</t>
  </si>
  <si>
    <t>花坛</t>
  </si>
  <si>
    <t>篝火</t>
  </si>
  <si>
    <t>爱心树</t>
  </si>
  <si>
    <t>园艺树</t>
  </si>
  <si>
    <t>雪景树</t>
  </si>
  <si>
    <t>平安果</t>
  </si>
  <si>
    <t>温泉</t>
  </si>
  <si>
    <t>风车</t>
  </si>
  <si>
    <t>圣诞树</t>
  </si>
  <si>
    <t>迎春树</t>
  </si>
  <si>
    <t>摇钱树</t>
  </si>
  <si>
    <t>迎春灯</t>
  </si>
  <si>
    <t>金鼠</t>
  </si>
  <si>
    <t>灯笼柱</t>
  </si>
  <si>
    <t>招财猫</t>
  </si>
  <si>
    <t>免战牌</t>
  </si>
  <si>
    <t>强攻牌</t>
  </si>
  <si>
    <t>刷新符</t>
  </si>
  <si>
    <t>乡村使者</t>
  </si>
  <si>
    <t>金币1920000将魂40</t>
  </si>
  <si>
    <t>东方使者</t>
  </si>
  <si>
    <t>金币2120000将魂80</t>
  </si>
  <si>
    <t>罗马使者</t>
  </si>
  <si>
    <t>金币2320000将魂120</t>
  </si>
  <si>
    <t>欧洲使者</t>
  </si>
  <si>
    <t>金币2520000将魂200</t>
  </si>
  <si>
    <t>埃及使者</t>
  </si>
  <si>
    <t>金币4220000将魂800</t>
  </si>
  <si>
    <t>至尊武将符</t>
  </si>
  <si>
    <r>
      <rPr>
        <sz val="11"/>
        <color theme="1"/>
        <rFont val="等线"/>
        <charset val="134"/>
        <scheme val="minor"/>
      </rPr>
      <t>20w，300</t>
    </r>
    <r>
      <rPr>
        <sz val="11"/>
        <color rgb="FFFF0000"/>
        <rFont val="等线"/>
        <charset val="134"/>
        <scheme val="minor"/>
      </rPr>
      <t>红钻</t>
    </r>
    <r>
      <rPr>
        <sz val="11"/>
        <color theme="1"/>
        <rFont val="等线"/>
        <charset val="134"/>
        <scheme val="minor"/>
      </rPr>
      <t>，抽60</t>
    </r>
    <r>
      <rPr>
        <sz val="11"/>
        <color rgb="FFFF0000"/>
        <rFont val="等线"/>
        <charset val="134"/>
        <scheme val="minor"/>
      </rPr>
      <t>传奇</t>
    </r>
    <r>
      <rPr>
        <sz val="11"/>
        <color theme="1"/>
        <rFont val="等线"/>
        <charset val="134"/>
        <scheme val="minor"/>
      </rPr>
      <t>，120</t>
    </r>
    <r>
      <rPr>
        <sz val="11"/>
        <color rgb="FFFF0000"/>
        <rFont val="等线"/>
        <charset val="134"/>
        <scheme val="minor"/>
      </rPr>
      <t>传说</t>
    </r>
    <r>
      <rPr>
        <sz val="11"/>
        <color theme="1"/>
        <rFont val="等线"/>
        <charset val="134"/>
        <scheme val="minor"/>
      </rPr>
      <t>，400</t>
    </r>
    <r>
      <rPr>
        <sz val="11"/>
        <color rgb="FFFF0000"/>
        <rFont val="等线"/>
        <charset val="134"/>
        <scheme val="minor"/>
      </rPr>
      <t>限定</t>
    </r>
    <r>
      <rPr>
        <sz val="11"/>
        <color theme="1"/>
        <rFont val="等线"/>
        <charset val="134"/>
        <scheme val="minor"/>
      </rPr>
      <t>，3000</t>
    </r>
    <r>
      <rPr>
        <sz val="11"/>
        <color rgb="FFFF0000"/>
        <rFont val="等线"/>
        <charset val="134"/>
        <scheme val="minor"/>
      </rPr>
      <t>神话</t>
    </r>
  </si>
  <si>
    <t>武将符</t>
  </si>
  <si>
    <r>
      <rPr>
        <sz val="11"/>
        <color theme="1"/>
        <rFont val="等线"/>
        <charset val="134"/>
        <scheme val="minor"/>
      </rPr>
      <t>300普通，500稀有，800卓越，3000史诗，4000史诗×2，8000</t>
    </r>
    <r>
      <rPr>
        <sz val="11"/>
        <color rgb="FFFF0000"/>
        <rFont val="等线"/>
        <charset val="134"/>
        <scheme val="minor"/>
      </rPr>
      <t>限定</t>
    </r>
    <r>
      <rPr>
        <sz val="11"/>
        <color theme="1"/>
        <rFont val="等线"/>
        <charset val="134"/>
        <scheme val="minor"/>
      </rPr>
      <t>，30000</t>
    </r>
    <r>
      <rPr>
        <sz val="11"/>
        <color rgb="FFFF0000"/>
        <rFont val="等线"/>
        <charset val="134"/>
        <scheme val="minor"/>
      </rPr>
      <t>限定×2</t>
    </r>
    <r>
      <rPr>
        <sz val="11"/>
        <color theme="1"/>
        <rFont val="等线"/>
        <charset val="134"/>
        <scheme val="minor"/>
      </rPr>
      <t>，60000</t>
    </r>
    <r>
      <rPr>
        <sz val="11"/>
        <color rgb="FFFF0000"/>
        <rFont val="等线"/>
        <charset val="134"/>
        <scheme val="minor"/>
      </rPr>
      <t>神话</t>
    </r>
  </si>
  <si>
    <t>宝殿个数</t>
  </si>
  <si>
    <t>7个</t>
  </si>
  <si>
    <t>每日僵尸波数</t>
  </si>
  <si>
    <t>普通60精英60</t>
  </si>
  <si>
    <t>恶魔刷新时间</t>
  </si>
  <si>
    <t>12点整</t>
  </si>
  <si>
    <t>巅峰宝殿</t>
  </si>
  <si>
    <t>10次</t>
  </si>
  <si>
    <t>手动刷新</t>
  </si>
  <si>
    <t>宝殿20次</t>
  </si>
  <si>
    <t>联盟本次数</t>
  </si>
  <si>
    <t>3次</t>
  </si>
  <si>
    <t>科技</t>
  </si>
  <si>
    <t>科技属性50级，工坊100级</t>
  </si>
  <si>
    <t>卡组</t>
  </si>
  <si>
    <t>11个</t>
  </si>
  <si>
    <t>神器转化</t>
  </si>
  <si>
    <t>蓝10→3紫，紫9→1金，蓝30→1金</t>
  </si>
  <si>
    <t>大佛最大红钻</t>
  </si>
  <si>
    <t>天坛最大红钻</t>
  </si>
  <si>
    <t>神器精炼</t>
  </si>
  <si>
    <t>绿100，蓝200，紫500，黄1000</t>
  </si>
  <si>
    <t>神器</t>
  </si>
  <si>
    <t>6蓝，3紫，1金，激活要20、0→1要50、1→2要100、2→3要200、3→4要400、4→5要600</t>
  </si>
  <si>
    <t>摇号所需红钻</t>
  </si>
  <si>
    <t>护送使者次数</t>
  </si>
  <si>
    <t>拦截使者次数</t>
  </si>
  <si>
    <t>炼石</t>
  </si>
  <si>
    <t>1红钻</t>
  </si>
  <si>
    <t>解酒药</t>
  </si>
  <si>
    <t>25红钻</t>
  </si>
  <si>
    <t>老窖</t>
  </si>
  <si>
    <t>200红钻</t>
  </si>
  <si>
    <t>二锅头</t>
  </si>
  <si>
    <t>100红钻</t>
  </si>
  <si>
    <t>令牌</t>
  </si>
  <si>
    <t>300红钻</t>
  </si>
  <si>
    <t>神秘药水</t>
  </si>
  <si>
    <t>40红钻</t>
  </si>
  <si>
    <t>神秘符石</t>
  </si>
  <si>
    <t>改名卡</t>
  </si>
  <si>
    <t>洗练符</t>
  </si>
  <si>
    <t>20红钻</t>
  </si>
  <si>
    <t>鉴定符</t>
  </si>
  <si>
    <t>兵法令</t>
  </si>
  <si>
    <t>248红钻</t>
  </si>
  <si>
    <t>武将从</t>
  </si>
  <si>
    <t>10+20+50+100+150</t>
  </si>
  <si>
    <t>木屋</t>
  </si>
  <si>
    <t>最大50</t>
  </si>
  <si>
    <t>村民居住的茅屋</t>
  </si>
  <si>
    <t>最大30</t>
  </si>
  <si>
    <t>阁楼</t>
  </si>
  <si>
    <t>2人，最大50</t>
  </si>
  <si>
    <t>府邸</t>
  </si>
  <si>
    <t>最大100</t>
  </si>
  <si>
    <t>村民</t>
  </si>
  <si>
    <t>店铺</t>
  </si>
  <si>
    <t>最大12</t>
  </si>
  <si>
    <t>重置格斗技</t>
  </si>
  <si>
    <t>重置2次，每次300钻石</t>
  </si>
  <si>
    <t>格斗技</t>
  </si>
  <si>
    <t>释放概率最高100%，最大12个槽位</t>
  </si>
  <si>
    <t>合体</t>
  </si>
  <si>
    <t>洗练20，素材12个，熟练度最高500，重置花费50神秘石</t>
  </si>
  <si>
    <t>摇号</t>
  </si>
  <si>
    <t>50格，免费7次2、3、4，充值4、5、6，15次</t>
  </si>
  <si>
    <t>宝石的类型</t>
  </si>
  <si>
    <t>4种</t>
  </si>
  <si>
    <t>限定英雄帖</t>
  </si>
  <si>
    <t>七天乐没有</t>
  </si>
  <si>
    <t>玉牌</t>
  </si>
  <si>
    <t>黄绿在联盟宝殿，红玉士兵宝殿，橙玉牌巅峰宝殿</t>
  </si>
  <si>
    <t>分解</t>
  </si>
  <si>
    <t>白卡20，绿卡60，蓝卡300，紫卡4500，金卡2w</t>
  </si>
  <si>
    <t>天神</t>
  </si>
  <si>
    <t>攻击，防御，生命</t>
  </si>
  <si>
    <t>暗金</t>
  </si>
  <si>
    <t>攻击+射击，防御+射击，生命+射击</t>
  </si>
  <si>
    <t>演武场</t>
  </si>
  <si>
    <t>功勋，10次</t>
  </si>
  <si>
    <t>竞技场</t>
  </si>
  <si>
    <t>5次</t>
  </si>
  <si>
    <t>助战军页面中，一共可以激活</t>
  </si>
  <si>
    <t>44步兵，40弓兵，40火枪，44骑兵</t>
  </si>
  <si>
    <t>收集册</t>
  </si>
  <si>
    <t>联盟副本</t>
  </si>
  <si>
    <t>升级兵法</t>
  </si>
  <si>
    <t>银票和红玉牌，格斗技用精炼石</t>
  </si>
  <si>
    <t>宝石等级</t>
  </si>
  <si>
    <t>A</t>
  </si>
  <si>
    <t>J</t>
  </si>
  <si>
    <t>R</t>
  </si>
  <si>
    <t>Z</t>
  </si>
  <si>
    <t>僵尸步兵/弓兵/火枪/骑兵</t>
  </si>
  <si>
    <t>步兵/弓兵/火枪/骑兵</t>
  </si>
  <si>
    <t>除了步兵是15%攻击外都是15%</t>
  </si>
  <si>
    <t>攻击/防御/生命</t>
  </si>
  <si>
    <t>野蛮冲撞</t>
  </si>
  <si>
    <t>闪电箭</t>
  </si>
  <si>
    <t>S</t>
  </si>
  <si>
    <t>神·张飞</t>
  </si>
  <si>
    <t>B</t>
  </si>
  <si>
    <t>老鼠步兵/弓兵/火枪/骑兵</t>
  </si>
  <si>
    <t>除步兵是20%其他15%</t>
  </si>
  <si>
    <t>除步兵是0其他15%</t>
  </si>
  <si>
    <t>全体士兵增幅</t>
  </si>
  <si>
    <t>主副将增幅</t>
  </si>
  <si>
    <t>全体武将增幅</t>
  </si>
  <si>
    <t>白熊</t>
  </si>
  <si>
    <t>固定值，普通10%属性30%</t>
  </si>
  <si>
    <t>4个宝石加起来再+10%</t>
  </si>
  <si>
    <t>属性宝石是30%</t>
  </si>
  <si>
    <t>6级以上都是这个算法</t>
  </si>
  <si>
    <t>神·张果老</t>
  </si>
  <si>
    <t>翼骑兵</t>
  </si>
  <si>
    <t>神器星级</t>
  </si>
  <si>
    <t>激活</t>
  </si>
  <si>
    <t>0→1</t>
  </si>
  <si>
    <t>1→2</t>
  </si>
  <si>
    <t>2→3</t>
  </si>
  <si>
    <t>3→4</t>
  </si>
  <si>
    <t>4→5</t>
  </si>
  <si>
    <t>K</t>
  </si>
  <si>
    <t>魔·撒旦</t>
  </si>
  <si>
    <t>神·张辽</t>
  </si>
  <si>
    <t>C</t>
  </si>
  <si>
    <t>英国火枪</t>
  </si>
  <si>
    <t>需要碎片数量</t>
  </si>
  <si>
    <t>魔·萨麦尔</t>
  </si>
  <si>
    <t>D</t>
  </si>
  <si>
    <t>稻草人</t>
  </si>
  <si>
    <t>猛虎骑兵</t>
  </si>
  <si>
    <t>L</t>
  </si>
  <si>
    <t>金甲步兵</t>
  </si>
  <si>
    <t>累计抽卡</t>
  </si>
  <si>
    <t>神·蓝采和</t>
  </si>
  <si>
    <t>神·赵云</t>
  </si>
  <si>
    <t>精灵弓箭手</t>
  </si>
  <si>
    <t>史诗×2</t>
  </si>
  <si>
    <t>限定×2</t>
  </si>
  <si>
    <t>F</t>
  </si>
  <si>
    <t>南瓜火枪</t>
  </si>
  <si>
    <t>魔·别西卜</t>
  </si>
  <si>
    <t>G</t>
  </si>
  <si>
    <t>共15</t>
  </si>
  <si>
    <t>哥特禁卫军</t>
  </si>
  <si>
    <t>建筑</t>
  </si>
  <si>
    <t>茅屋</t>
  </si>
  <si>
    <t>神·周瑜</t>
  </si>
  <si>
    <t>H</t>
  </si>
  <si>
    <t>最大等级</t>
  </si>
  <si>
    <t>神·曹操</t>
  </si>
  <si>
    <t>神·曹国舅</t>
  </si>
  <si>
    <t>景观</t>
  </si>
  <si>
    <t>花坛/篝火/爱心树</t>
  </si>
  <si>
    <t>温泉/风车/圣诞树</t>
  </si>
  <si>
    <t>神·李老君</t>
  </si>
  <si>
    <t>神·孙策</t>
  </si>
  <si>
    <t>神·诸葛亮</t>
  </si>
  <si>
    <t>迎春树/摇钱树/迎春灯/金鼠</t>
  </si>
  <si>
    <t>灯笼柱/招财猫</t>
  </si>
  <si>
    <t>魔·利维坦</t>
  </si>
  <si>
    <t>狂暴巨象</t>
  </si>
  <si>
    <t>T</t>
  </si>
  <si>
    <t>神·左慈</t>
  </si>
  <si>
    <t>罗马雇佣军</t>
  </si>
  <si>
    <t>补兵特工5</t>
  </si>
  <si>
    <t>M</t>
  </si>
  <si>
    <t>马六甲长枪兵</t>
  </si>
  <si>
    <t>马六甲轻</t>
  </si>
  <si>
    <t>使者</t>
  </si>
  <si>
    <t>美洲虎</t>
  </si>
  <si>
    <t>金币</t>
  </si>
  <si>
    <t>神·铁拐李</t>
  </si>
  <si>
    <t>将魂</t>
  </si>
  <si>
    <t>圣·雷米勒</t>
  </si>
  <si>
    <t>W</t>
  </si>
  <si>
    <t>蒙面鸡</t>
  </si>
  <si>
    <t>神·路西法</t>
  </si>
  <si>
    <t>杂项</t>
  </si>
  <si>
    <t>巅峰宝殿刷新</t>
  </si>
  <si>
    <t>其他宝殿刷新</t>
  </si>
  <si>
    <t>科技大厅最高等级</t>
  </si>
  <si>
    <t>N</t>
  </si>
  <si>
    <t>南越熊</t>
  </si>
  <si>
    <t>？？？</t>
  </si>
  <si>
    <t>20次</t>
  </si>
  <si>
    <t>神·斗士</t>
  </si>
  <si>
    <t>至尊单抽赠送金币</t>
  </si>
  <si>
    <t>卡组数</t>
  </si>
  <si>
    <t>普通单抽赠送金币</t>
  </si>
  <si>
    <t>蓝神器换紫</t>
  </si>
  <si>
    <t>紫神器换金</t>
  </si>
  <si>
    <t>神·吕布</t>
  </si>
  <si>
    <t>死袭</t>
  </si>
  <si>
    <t>女子</t>
  </si>
  <si>
    <t>200000（20W）</t>
  </si>
  <si>
    <t>10000（1W）</t>
  </si>
  <si>
    <t>10→3</t>
  </si>
  <si>
    <t>9→1</t>
  </si>
  <si>
    <t>神·吕洞宾</t>
  </si>
  <si>
    <t>O</t>
  </si>
  <si>
    <t>欧洲枪</t>
  </si>
  <si>
    <t>蓝神器换金</t>
  </si>
  <si>
    <t>菲力二世</t>
  </si>
  <si>
    <t>P</t>
  </si>
  <si>
    <t>30→1</t>
  </si>
  <si>
    <t>腓特烈一世</t>
  </si>
  <si>
    <t>Q</t>
  </si>
  <si>
    <t>神·马超</t>
  </si>
  <si>
    <t>魔·玛门</t>
  </si>
  <si>
    <t>神·甘宁</t>
  </si>
  <si>
    <t>X</t>
  </si>
  <si>
    <t>条顿</t>
  </si>
  <si>
    <t>神·关羽</t>
  </si>
  <si>
    <t>神鼓舞</t>
  </si>
  <si>
    <t>神·夏侯惇</t>
  </si>
  <si>
    <t>神·郭嘉</t>
  </si>
  <si>
    <t>奇才</t>
  </si>
  <si>
    <t>遗计</t>
  </si>
  <si>
    <t>维京海盗骑兵</t>
  </si>
  <si>
    <t>Y</t>
  </si>
  <si>
    <t>爪哇</t>
  </si>
  <si>
    <t>共43</t>
  </si>
  <si>
    <t>共40</t>
  </si>
  <si>
    <t>共40火枪</t>
  </si>
  <si>
    <t>共44</t>
  </si>
  <si>
    <t>神·韩湘子</t>
  </si>
  <si>
    <t>神·戚继光</t>
  </si>
  <si>
    <t>神·汉尼拔</t>
  </si>
  <si>
    <t>神·汉钟离</t>
  </si>
  <si>
    <t>神·恰卡</t>
  </si>
  <si>
    <t>神·何仙姑</t>
  </si>
  <si>
    <t>神·黄忠</t>
  </si>
  <si>
    <t>天数</t>
  </si>
  <si>
    <t>自回体（每日两次领取）</t>
  </si>
  <si>
    <t>免费进度</t>
  </si>
  <si>
    <t>2W8差值</t>
  </si>
  <si>
    <t>2W8体力</t>
  </si>
  <si>
    <t>2W8红钻</t>
  </si>
  <si>
    <t>4W2差值</t>
  </si>
  <si>
    <t>4W2体力</t>
  </si>
  <si>
    <t>4W2红钻</t>
  </si>
  <si>
    <t>6W差值</t>
  </si>
  <si>
    <t>6W体力</t>
  </si>
  <si>
    <t>6W红钻</t>
  </si>
  <si>
    <t>小金币掉率↓</t>
  </si>
  <si>
    <t>还需要这么多进度到2W8</t>
  </si>
  <si>
    <t>还需要这么多体力到2W8</t>
  </si>
  <si>
    <t>除了每日第一次，还需要买这么多红钻的体力</t>
  </si>
  <si>
    <t>后面都一样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</si>
</sst>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@&quot;步&quot;&quot;兵&quot;"/>
    <numFmt numFmtId="179" formatCode="@&quot;弓&quot;&quot;兵&quot;"/>
    <numFmt numFmtId="180" formatCode="@&quot;火&quot;&quot;枪&quot;"/>
    <numFmt numFmtId="181" formatCode="@&quot;骑&quot;&quot;兵&quot;"/>
    <numFmt numFmtId="182" formatCode="@&quot;皮&quot;&quot;肤&quot;"/>
    <numFmt numFmtId="183" formatCode="0_);[Red]\(0\)"/>
    <numFmt numFmtId="184" formatCode="0.0_);[Red]\(0.0\)"/>
    <numFmt numFmtId="185" formatCode="0.00_);[Red]\(0.00\)"/>
  </numFmts>
  <fonts count="28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F6600"/>
      <name val="等线"/>
      <charset val="134"/>
      <scheme val="minor"/>
    </font>
    <font>
      <sz val="11"/>
      <color rgb="FF92D050"/>
      <name val="等线"/>
      <charset val="134"/>
      <scheme val="minor"/>
    </font>
    <font>
      <sz val="11"/>
      <color rgb="FFFF7A5B"/>
      <name val="等线"/>
      <charset val="134"/>
      <scheme val="minor"/>
    </font>
    <font>
      <sz val="11"/>
      <color rgb="FF00B0F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70C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6F6FF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05AE4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E0A3FF"/>
        <bgColor indexed="64"/>
      </patternFill>
    </fill>
    <fill>
      <patternFill patternType="solid">
        <fgColor rgb="FFC4884C"/>
        <bgColor indexed="64"/>
      </patternFill>
    </fill>
    <fill>
      <patternFill patternType="solid">
        <fgColor rgb="FFFFFB05"/>
        <bgColor indexed="64"/>
      </patternFill>
    </fill>
    <fill>
      <patternFill patternType="solid">
        <fgColor rgb="FF75FF7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7A5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63F"/>
        <bgColor indexed="64"/>
      </patternFill>
    </fill>
    <fill>
      <patternFill patternType="solid">
        <fgColor rgb="FF81CCFF"/>
        <bgColor indexed="64"/>
      </patternFill>
    </fill>
    <fill>
      <patternFill patternType="solid">
        <fgColor rgb="FFFFC775"/>
        <bgColor indexed="64"/>
      </patternFill>
    </fill>
    <fill>
      <patternFill patternType="solid">
        <fgColor rgb="FFFF89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4" applyNumberFormat="0" applyAlignment="0" applyProtection="0">
      <alignment vertical="center"/>
    </xf>
    <xf numFmtId="0" fontId="18" fillId="26" borderId="5" applyNumberFormat="0" applyAlignment="0" applyProtection="0">
      <alignment vertical="center"/>
    </xf>
    <xf numFmtId="0" fontId="19" fillId="26" borderId="4" applyNumberFormat="0" applyAlignment="0" applyProtection="0">
      <alignment vertical="center"/>
    </xf>
    <xf numFmtId="0" fontId="20" fillId="2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0" fillId="0" borderId="0" xfId="0" applyFill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0" fillId="0" borderId="0" xfId="0" applyNumberFormat="1" applyFill="1">
      <alignment vertical="center"/>
    </xf>
    <xf numFmtId="178" fontId="0" fillId="2" borderId="0" xfId="0" applyNumberFormat="1" applyFill="1">
      <alignment vertical="center"/>
    </xf>
    <xf numFmtId="9" fontId="0" fillId="3" borderId="0" xfId="0" applyNumberFormat="1" applyFill="1">
      <alignment vertical="center"/>
    </xf>
    <xf numFmtId="179" fontId="0" fillId="4" borderId="0" xfId="0" applyNumberFormat="1" applyFill="1">
      <alignment vertical="center"/>
    </xf>
    <xf numFmtId="180" fontId="0" fillId="5" borderId="0" xfId="0" applyNumberFormat="1" applyFill="1">
      <alignment vertical="center"/>
    </xf>
    <xf numFmtId="181" fontId="0" fillId="6" borderId="0" xfId="0" applyNumberFormat="1" applyFill="1">
      <alignment vertical="center"/>
    </xf>
    <xf numFmtId="182" fontId="0" fillId="7" borderId="0" xfId="0" applyNumberFormat="1" applyFill="1" applyAlignment="1">
      <alignment horizontal="left" vertical="center" wrapText="1"/>
    </xf>
    <xf numFmtId="9" fontId="0" fillId="3" borderId="0" xfId="0" applyNumberFormat="1" applyFill="1" applyAlignment="1">
      <alignment horizontal="left" vertical="top"/>
    </xf>
    <xf numFmtId="9" fontId="0" fillId="3" borderId="0" xfId="0" applyNumberFormat="1" applyFill="1" applyAlignment="1">
      <alignment horizontal="left" vertical="top" wrapText="1"/>
    </xf>
    <xf numFmtId="177" fontId="0" fillId="8" borderId="0" xfId="0" applyNumberFormat="1" applyFill="1">
      <alignment vertical="center"/>
    </xf>
    <xf numFmtId="177" fontId="0" fillId="9" borderId="0" xfId="0" applyNumberFormat="1" applyFill="1">
      <alignment vertical="center"/>
    </xf>
    <xf numFmtId="177" fontId="0" fillId="10" borderId="0" xfId="0" applyNumberFormat="1" applyFont="1" applyFill="1" applyBorder="1" applyAlignment="1" applyProtection="1">
      <alignment vertical="center"/>
    </xf>
    <xf numFmtId="177" fontId="0" fillId="3" borderId="0" xfId="0" applyNumberFormat="1" applyFill="1">
      <alignment vertical="center"/>
    </xf>
    <xf numFmtId="177" fontId="0" fillId="2" borderId="0" xfId="0" applyNumberFormat="1" applyFill="1">
      <alignment vertical="center"/>
    </xf>
    <xf numFmtId="177" fontId="0" fillId="11" borderId="0" xfId="0" applyNumberFormat="1" applyFill="1">
      <alignment vertical="center"/>
    </xf>
    <xf numFmtId="177" fontId="0" fillId="12" borderId="0" xfId="0" applyNumberFormat="1" applyFont="1" applyFill="1" applyBorder="1" applyAlignment="1" applyProtection="1">
      <alignment vertical="center"/>
    </xf>
    <xf numFmtId="0" fontId="0" fillId="5" borderId="0" xfId="0" applyFill="1">
      <alignment vertical="center"/>
    </xf>
    <xf numFmtId="177" fontId="0" fillId="13" borderId="0" xfId="0" applyNumberFormat="1" applyFill="1">
      <alignment vertical="center"/>
    </xf>
    <xf numFmtId="177" fontId="0" fillId="14" borderId="0" xfId="0" applyNumberFormat="1" applyFill="1">
      <alignment vertical="center"/>
    </xf>
    <xf numFmtId="177" fontId="0" fillId="15" borderId="0" xfId="0" applyNumberFormat="1" applyFont="1" applyFill="1" applyBorder="1" applyAlignment="1" applyProtection="1">
      <alignment vertical="center"/>
    </xf>
    <xf numFmtId="177" fontId="1" fillId="0" borderId="0" xfId="0" applyNumberFormat="1" applyFont="1">
      <alignment vertical="center"/>
    </xf>
    <xf numFmtId="177" fontId="0" fillId="16" borderId="0" xfId="0" applyNumberFormat="1" applyFill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177" fontId="0" fillId="18" borderId="0" xfId="0" applyNumberFormat="1" applyFill="1">
      <alignment vertical="center"/>
    </xf>
    <xf numFmtId="177" fontId="0" fillId="7" borderId="0" xfId="0" applyNumberFormat="1" applyFill="1">
      <alignment vertical="center"/>
    </xf>
    <xf numFmtId="177" fontId="0" fillId="19" borderId="0" xfId="0" applyNumberFormat="1" applyFont="1" applyFill="1" applyBorder="1" applyAlignment="1" applyProtection="1">
      <alignment vertical="center"/>
    </xf>
    <xf numFmtId="182" fontId="0" fillId="7" borderId="0" xfId="0" applyNumberFormat="1" applyFill="1">
      <alignment vertical="center"/>
    </xf>
    <xf numFmtId="177" fontId="0" fillId="20" borderId="0" xfId="0" applyNumberFormat="1" applyFont="1" applyFill="1" applyBorder="1" applyAlignment="1" applyProtection="1">
      <alignment vertical="center"/>
    </xf>
    <xf numFmtId="0" fontId="0" fillId="6" borderId="0" xfId="0" applyFill="1">
      <alignment vertical="center"/>
    </xf>
    <xf numFmtId="177" fontId="0" fillId="21" borderId="0" xfId="0" applyNumberFormat="1" applyFont="1" applyFill="1" applyBorder="1" applyAlignment="1" applyProtection="1">
      <alignment vertical="center"/>
    </xf>
    <xf numFmtId="177" fontId="0" fillId="22" borderId="0" xfId="0" applyNumberFormat="1" applyFont="1" applyFill="1" applyBorder="1" applyAlignment="1" applyProtection="1">
      <alignment vertical="center"/>
    </xf>
    <xf numFmtId="0" fontId="0" fillId="4" borderId="0" xfId="0" applyFill="1">
      <alignment vertical="center"/>
    </xf>
    <xf numFmtId="182" fontId="0" fillId="0" borderId="0" xfId="0" applyNumberFormat="1" applyFill="1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23" borderId="0" xfId="0" applyNumberFormat="1" applyFill="1">
      <alignment vertical="center"/>
    </xf>
    <xf numFmtId="177" fontId="0" fillId="5" borderId="0" xfId="0" applyNumberFormat="1" applyFill="1">
      <alignment vertical="center"/>
    </xf>
    <xf numFmtId="179" fontId="0" fillId="0" borderId="0" xfId="0" applyNumberFormat="1" applyFill="1">
      <alignment vertical="center"/>
    </xf>
    <xf numFmtId="181" fontId="0" fillId="0" borderId="0" xfId="0" applyNumberFormat="1" applyFill="1">
      <alignment vertical="center"/>
    </xf>
    <xf numFmtId="0" fontId="0" fillId="0" borderId="0" xfId="0" applyFill="1" applyBorder="1" applyAlignment="1">
      <alignment horizontal="left" vertical="center"/>
    </xf>
    <xf numFmtId="177" fontId="0" fillId="0" borderId="0" xfId="0" applyNumberFormat="1" applyFill="1" applyBorder="1" applyAlignment="1" applyProtection="1">
      <alignment horizontal="right" vertical="center"/>
      <protection locked="0"/>
    </xf>
    <xf numFmtId="0" fontId="0" fillId="0" borderId="0" xfId="0" applyFill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Protection="1">
      <alignment vertical="center"/>
      <protection locked="0"/>
    </xf>
    <xf numFmtId="0" fontId="0" fillId="0" borderId="0" xfId="0" applyFill="1" applyBorder="1">
      <alignment vertical="center"/>
    </xf>
    <xf numFmtId="0" fontId="2" fillId="0" borderId="0" xfId="0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7" fontId="0" fillId="0" borderId="0" xfId="0" applyNumberFormat="1" applyFill="1" applyBorder="1" applyProtection="1">
      <alignment vertical="center"/>
      <protection locked="0"/>
    </xf>
    <xf numFmtId="177" fontId="2" fillId="0" borderId="0" xfId="0" applyNumberFormat="1" applyFont="1" applyFill="1" applyBorder="1" applyProtection="1">
      <alignment vertical="center"/>
      <protection locked="0"/>
    </xf>
    <xf numFmtId="9" fontId="0" fillId="0" borderId="0" xfId="0" applyNumberFormat="1" applyFill="1" applyBorder="1">
      <alignment vertical="center"/>
    </xf>
    <xf numFmtId="9" fontId="2" fillId="0" borderId="0" xfId="0" applyNumberFormat="1" applyFont="1" applyFill="1" applyBorder="1">
      <alignment vertical="center"/>
    </xf>
    <xf numFmtId="179" fontId="2" fillId="0" borderId="0" xfId="0" applyNumberFormat="1" applyFont="1" applyFill="1" applyBorder="1">
      <alignment vertical="center"/>
    </xf>
    <xf numFmtId="180" fontId="2" fillId="0" borderId="0" xfId="0" applyNumberFormat="1" applyFont="1" applyFill="1" applyBorder="1">
      <alignment vertical="center"/>
    </xf>
    <xf numFmtId="181" fontId="2" fillId="0" borderId="0" xfId="0" applyNumberFormat="1" applyFont="1" applyFill="1" applyBorder="1">
      <alignment vertical="center"/>
    </xf>
    <xf numFmtId="182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/>
    </xf>
    <xf numFmtId="9" fontId="2" fillId="0" borderId="0" xfId="0" applyNumberFormat="1" applyFont="1" applyFill="1" applyBorder="1" applyAlignment="1">
      <alignment horizontal="left" vertical="top"/>
    </xf>
    <xf numFmtId="9" fontId="2" fillId="0" borderId="0" xfId="0" applyNumberFormat="1" applyFont="1" applyFill="1" applyBorder="1" applyAlignment="1">
      <alignment horizontal="left" vertical="top" wrapText="1"/>
    </xf>
    <xf numFmtId="177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182" fontId="2" fillId="0" borderId="0" xfId="0" applyNumberFormat="1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0" fontId="2" fillId="0" borderId="0" xfId="0" applyNumberFormat="1" applyFont="1" applyFill="1" applyBorder="1">
      <alignment vertical="center"/>
    </xf>
    <xf numFmtId="0" fontId="0" fillId="0" borderId="0" xfId="0" applyFont="1" applyFill="1" applyAlignment="1">
      <alignment vertical="top" wrapText="1"/>
    </xf>
    <xf numFmtId="9" fontId="0" fillId="0" borderId="0" xfId="0" applyNumberFormat="1" applyFont="1" applyFill="1" applyAlignment="1">
      <alignment vertical="top"/>
    </xf>
    <xf numFmtId="9" fontId="0" fillId="0" borderId="0" xfId="0" applyNumberFormat="1" applyFont="1" applyFill="1" applyAlignment="1">
      <alignment vertical="top" wrapText="1"/>
    </xf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Font="1" applyFill="1">
      <alignment vertical="center"/>
    </xf>
    <xf numFmtId="9" fontId="0" fillId="0" borderId="0" xfId="0" applyNumberFormat="1" applyFont="1" applyFill="1">
      <alignment vertical="center"/>
    </xf>
    <xf numFmtId="0" fontId="0" fillId="0" borderId="0" xfId="0" applyProtection="1">
      <alignment vertical="center"/>
      <protection locked="0"/>
    </xf>
    <xf numFmtId="183" fontId="0" fillId="0" borderId="0" xfId="0" applyNumberFormat="1">
      <alignment vertical="center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185" fontId="3" fillId="0" borderId="0" xfId="0" applyNumberFormat="1" applyFont="1">
      <alignment vertical="center"/>
    </xf>
    <xf numFmtId="185" fontId="4" fillId="0" borderId="0" xfId="0" applyNumberFormat="1" applyFont="1">
      <alignment vertical="center"/>
    </xf>
    <xf numFmtId="185" fontId="5" fillId="0" borderId="0" xfId="0" applyNumberFormat="1" applyFont="1">
      <alignment vertical="center"/>
    </xf>
    <xf numFmtId="185" fontId="6" fillId="0" borderId="0" xfId="0" applyNumberFormat="1" applyFont="1">
      <alignment vertical="center"/>
    </xf>
    <xf numFmtId="185" fontId="7" fillId="0" borderId="0" xfId="0" applyNumberFormat="1" applyFont="1">
      <alignment vertical="center"/>
    </xf>
    <xf numFmtId="185" fontId="8" fillId="0" borderId="0" xfId="0" applyNumberFormat="1" applyFont="1">
      <alignment vertical="center"/>
    </xf>
    <xf numFmtId="0" fontId="0" fillId="5" borderId="0" xfId="0" applyFill="1" applyProtection="1">
      <alignment vertical="center"/>
    </xf>
    <xf numFmtId="177" fontId="0" fillId="2" borderId="0" xfId="0" applyNumberFormat="1" applyFill="1" applyProtection="1">
      <alignment vertical="center"/>
    </xf>
    <xf numFmtId="177" fontId="0" fillId="0" borderId="0" xfId="0" applyNumberFormat="1" applyFill="1" applyProtection="1">
      <alignment vertical="center"/>
    </xf>
    <xf numFmtId="183" fontId="0" fillId="0" borderId="0" xfId="0" applyNumberFormat="1" applyProtection="1">
      <alignment vertical="center"/>
    </xf>
    <xf numFmtId="184" fontId="0" fillId="0" borderId="0" xfId="0" applyNumberFormat="1" applyProtection="1">
      <alignment vertical="center"/>
    </xf>
    <xf numFmtId="185" fontId="0" fillId="0" borderId="0" xfId="0" applyNumberFormat="1" applyProtection="1">
      <alignment vertical="center"/>
    </xf>
    <xf numFmtId="177" fontId="0" fillId="0" borderId="0" xfId="0" applyNumberForma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ill>
        <patternFill patternType="solid">
          <fgColor rgb="FF6F6FF5"/>
          <bgColor rgb="FF000000"/>
        </patternFill>
      </fill>
    </dxf>
    <dxf>
      <fill>
        <patternFill patternType="solid">
          <fgColor rgb="FFFFFB05"/>
          <bgColor rgb="FF000000"/>
        </patternFill>
      </fill>
    </dxf>
    <dxf>
      <fill>
        <patternFill patternType="solid">
          <fgColor rgb="FFFF3300"/>
          <bgColor rgb="FF000000"/>
        </patternFill>
      </fill>
    </dxf>
    <dxf>
      <fill>
        <patternFill patternType="solid">
          <fgColor rgb="FF66FF33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6600"/>
          <bgColor rgb="FF000000"/>
        </patternFill>
      </fill>
    </dxf>
    <dxf>
      <fill>
        <patternFill patternType="solid">
          <fgColor rgb="FFD05AE4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colors>
    <mruColors>
      <color rgb="00FF7A5B"/>
      <color rgb="00FFC775"/>
      <color rgb="00FF6600"/>
      <color rgb="0000FF00"/>
      <color rgb="006F6FF5"/>
      <color rgb="00C4884C"/>
      <color rgb="00FF89D8"/>
      <color rgb="00D3D3D3"/>
      <color rgb="0075FF75"/>
      <color rgb="0081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4"/>
  <sheetViews>
    <sheetView zoomScale="140" zoomScaleNormal="140" topLeftCell="G1" workbookViewId="0">
      <pane ySplit="1" topLeftCell="A120" activePane="bottomLeft" state="frozen"/>
      <selection/>
      <selection pane="bottomLeft" activeCell="O129" sqref="O129"/>
    </sheetView>
  </sheetViews>
  <sheetFormatPr defaultColWidth="9" defaultRowHeight="14.25"/>
  <cols>
    <col min="1" max="1" width="12.3333333333333" customWidth="1"/>
    <col min="3" max="3" width="10" style="7" customWidth="1"/>
    <col min="4" max="4" width="6.83333333333333" style="84" customWidth="1"/>
    <col min="5" max="5" width="9.5" style="85" customWidth="1"/>
    <col min="6" max="6" width="12" style="86" customWidth="1"/>
    <col min="7" max="7" width="14.5833333333333" style="86" customWidth="1"/>
    <col min="8" max="8" width="9.5" style="85" customWidth="1"/>
    <col min="9" max="9" width="12" style="86" customWidth="1"/>
    <col min="10" max="10" width="14.5833333333333" style="86" customWidth="1"/>
    <col min="11" max="11" width="9.5" style="85" customWidth="1"/>
    <col min="12" max="12" width="12" style="86" customWidth="1"/>
    <col min="13" max="13" width="14.5833333333333" style="86" customWidth="1"/>
    <col min="14" max="14" width="12.25" customWidth="1"/>
    <col min="15" max="15" width="11.5" customWidth="1"/>
  </cols>
  <sheetData>
    <row r="1" spans="1:15">
      <c r="A1" s="8" t="s">
        <v>0</v>
      </c>
      <c r="B1" s="8" t="s">
        <v>1</v>
      </c>
      <c r="C1" s="10" t="s">
        <v>2</v>
      </c>
      <c r="D1" s="84" t="s">
        <v>3</v>
      </c>
      <c r="E1" s="85" t="s">
        <v>4</v>
      </c>
      <c r="F1" s="86" t="s">
        <v>5</v>
      </c>
      <c r="G1" s="86" t="s">
        <v>6</v>
      </c>
      <c r="H1" s="85" t="s">
        <v>7</v>
      </c>
      <c r="I1" s="86" t="s">
        <v>8</v>
      </c>
      <c r="J1" s="86" t="s">
        <v>9</v>
      </c>
      <c r="K1" s="85" t="s">
        <v>10</v>
      </c>
      <c r="L1" s="86" t="s">
        <v>11</v>
      </c>
      <c r="M1" s="86" t="s">
        <v>12</v>
      </c>
      <c r="N1" s="8" t="s">
        <v>13</v>
      </c>
      <c r="O1" s="8" t="s">
        <v>14</v>
      </c>
    </row>
    <row r="2" customFormat="1" spans="1:15">
      <c r="A2" s="31" t="s">
        <v>15</v>
      </c>
      <c r="B2" s="24" t="s">
        <v>16</v>
      </c>
      <c r="C2" s="7" t="s">
        <v>17</v>
      </c>
      <c r="D2" s="84">
        <v>70</v>
      </c>
      <c r="E2" s="85">
        <v>275</v>
      </c>
      <c r="F2" s="86">
        <f>3*(1.5^$Q$50)</f>
        <v>3</v>
      </c>
      <c r="G2" s="86">
        <f t="shared" ref="G2:G24" si="0">E2+D2*F2</f>
        <v>485</v>
      </c>
      <c r="H2" s="85">
        <v>1175</v>
      </c>
      <c r="I2" s="86">
        <f>17*(1.5^$Q$50)</f>
        <v>17</v>
      </c>
      <c r="J2" s="86">
        <f t="shared" ref="J2:J24" si="1">H2+I2*D2</f>
        <v>2365</v>
      </c>
      <c r="K2" s="85">
        <v>675</v>
      </c>
      <c r="L2" s="86">
        <f>10*(1.5^$Q$50)</f>
        <v>10</v>
      </c>
      <c r="M2" s="86">
        <f t="shared" ref="M2:M24" si="2">K2+L2*D2</f>
        <v>1375</v>
      </c>
      <c r="N2" s="8" t="s">
        <v>18</v>
      </c>
      <c r="O2" s="8" t="s">
        <v>19</v>
      </c>
    </row>
    <row r="3" customFormat="1" spans="1:15">
      <c r="A3" s="31" t="s">
        <v>20</v>
      </c>
      <c r="B3" s="20" t="s">
        <v>21</v>
      </c>
      <c r="C3" s="10" t="s">
        <v>22</v>
      </c>
      <c r="D3" s="84">
        <v>70</v>
      </c>
      <c r="E3" s="85">
        <v>1025</v>
      </c>
      <c r="F3" s="86">
        <f>14.2*(1.5^$Q$50)</f>
        <v>14.2</v>
      </c>
      <c r="G3" s="86">
        <f t="shared" si="0"/>
        <v>2019</v>
      </c>
      <c r="H3" s="85">
        <v>25</v>
      </c>
      <c r="I3" s="86">
        <f>0.3*(1.5^$Q$50)</f>
        <v>0.3</v>
      </c>
      <c r="J3" s="86">
        <f t="shared" si="1"/>
        <v>46</v>
      </c>
      <c r="K3" s="85">
        <v>1150</v>
      </c>
      <c r="L3" s="86">
        <f>26*(1.5^$Q$50)</f>
        <v>26</v>
      </c>
      <c r="M3" s="86">
        <f t="shared" si="2"/>
        <v>2970</v>
      </c>
      <c r="N3" s="8" t="s">
        <v>23</v>
      </c>
      <c r="O3" s="8" t="s">
        <v>24</v>
      </c>
    </row>
    <row r="4" customFormat="1" spans="1:15">
      <c r="A4" s="31" t="s">
        <v>25</v>
      </c>
      <c r="B4" s="23" t="s">
        <v>26</v>
      </c>
      <c r="C4" s="7" t="s">
        <v>17</v>
      </c>
      <c r="D4" s="84">
        <v>70</v>
      </c>
      <c r="E4" s="85">
        <v>575</v>
      </c>
      <c r="F4" s="86">
        <f>9*(1.5^$Q$50)</f>
        <v>9</v>
      </c>
      <c r="G4" s="86">
        <f t="shared" si="0"/>
        <v>1205</v>
      </c>
      <c r="H4" s="85">
        <v>25</v>
      </c>
      <c r="I4" s="86">
        <f>1*(1.5^$Q$50)</f>
        <v>1</v>
      </c>
      <c r="J4" s="86">
        <f t="shared" si="1"/>
        <v>95</v>
      </c>
      <c r="K4" s="85">
        <v>1525</v>
      </c>
      <c r="L4" s="86">
        <f>40*(1.5^$Q$50)</f>
        <v>40</v>
      </c>
      <c r="M4" s="86">
        <f t="shared" si="2"/>
        <v>4325</v>
      </c>
      <c r="N4" s="8" t="s">
        <v>27</v>
      </c>
      <c r="O4" s="8" t="s">
        <v>28</v>
      </c>
    </row>
    <row r="5" customFormat="1" spans="1:15">
      <c r="A5" s="31" t="s">
        <v>29</v>
      </c>
      <c r="B5" s="28" t="s">
        <v>30</v>
      </c>
      <c r="C5" s="10" t="s">
        <v>31</v>
      </c>
      <c r="D5" s="84">
        <v>70</v>
      </c>
      <c r="E5" s="85">
        <v>125</v>
      </c>
      <c r="F5" s="86">
        <f>2.2*(1.5^$Q$50)</f>
        <v>2.2</v>
      </c>
      <c r="G5" s="86">
        <f t="shared" si="0"/>
        <v>279</v>
      </c>
      <c r="H5" s="85">
        <v>1250</v>
      </c>
      <c r="I5" s="86">
        <f>17.1*(1.5^$Q$50)</f>
        <v>17.1</v>
      </c>
      <c r="J5" s="86">
        <f t="shared" si="1"/>
        <v>2447</v>
      </c>
      <c r="K5" s="85">
        <v>900</v>
      </c>
      <c r="L5" s="86">
        <f>12*(1.5^$Q$50)</f>
        <v>12</v>
      </c>
      <c r="M5" s="86">
        <f t="shared" si="2"/>
        <v>1740</v>
      </c>
      <c r="N5" s="8" t="s">
        <v>32</v>
      </c>
      <c r="O5" s="8" t="s">
        <v>33</v>
      </c>
    </row>
    <row r="6" customFormat="1" spans="1:15">
      <c r="A6" s="31" t="s">
        <v>34</v>
      </c>
      <c r="B6" s="20" t="s">
        <v>21</v>
      </c>
      <c r="C6" s="7" t="s">
        <v>17</v>
      </c>
      <c r="D6" s="84">
        <v>70</v>
      </c>
      <c r="E6" s="85">
        <v>825</v>
      </c>
      <c r="F6" s="86">
        <f>15*(1.5^$Q$50)</f>
        <v>15</v>
      </c>
      <c r="G6" s="86">
        <f t="shared" si="0"/>
        <v>1875</v>
      </c>
      <c r="H6" s="85">
        <v>175</v>
      </c>
      <c r="I6" s="86">
        <f>0.3*(1.5^$Q$50)</f>
        <v>0.3</v>
      </c>
      <c r="J6" s="86">
        <f t="shared" si="1"/>
        <v>196</v>
      </c>
      <c r="K6" s="85">
        <v>1125</v>
      </c>
      <c r="L6" s="86">
        <f>24*(1.5^$Q$50)</f>
        <v>24</v>
      </c>
      <c r="M6" s="86">
        <f t="shared" si="2"/>
        <v>2805</v>
      </c>
      <c r="N6" s="8" t="s">
        <v>35</v>
      </c>
      <c r="O6" s="8" t="s">
        <v>36</v>
      </c>
    </row>
    <row r="7" customFormat="1" spans="1:15">
      <c r="A7" s="31" t="s">
        <v>37</v>
      </c>
      <c r="B7" s="24" t="s">
        <v>16</v>
      </c>
      <c r="C7" s="10" t="s">
        <v>22</v>
      </c>
      <c r="D7" s="84">
        <v>70</v>
      </c>
      <c r="E7" s="85">
        <v>100</v>
      </c>
      <c r="F7" s="86">
        <f>0.5*(1.5^$Q$50)</f>
        <v>0.5</v>
      </c>
      <c r="G7" s="86">
        <f t="shared" si="0"/>
        <v>135</v>
      </c>
      <c r="H7" s="85">
        <v>925</v>
      </c>
      <c r="I7" s="86">
        <f>14*(1.5^$Q$50)</f>
        <v>14</v>
      </c>
      <c r="J7" s="86">
        <f t="shared" si="1"/>
        <v>1905</v>
      </c>
      <c r="K7" s="85">
        <v>1125</v>
      </c>
      <c r="L7" s="86">
        <f>28*(1.5^$Q$50)</f>
        <v>28</v>
      </c>
      <c r="M7" s="86">
        <f t="shared" si="2"/>
        <v>3085</v>
      </c>
      <c r="N7" s="8" t="s">
        <v>38</v>
      </c>
      <c r="O7" s="8" t="s">
        <v>18</v>
      </c>
    </row>
    <row r="8" customFormat="1" spans="1:15">
      <c r="A8" s="31" t="s">
        <v>39</v>
      </c>
      <c r="B8" s="28" t="s">
        <v>30</v>
      </c>
      <c r="C8" s="10" t="s">
        <v>22</v>
      </c>
      <c r="D8" s="84">
        <v>70</v>
      </c>
      <c r="E8" s="85">
        <v>230</v>
      </c>
      <c r="F8" s="86">
        <f>2.7*(1.5^$Q$50)</f>
        <v>2.7</v>
      </c>
      <c r="G8" s="86">
        <f t="shared" si="0"/>
        <v>419</v>
      </c>
      <c r="H8" s="85">
        <v>1225</v>
      </c>
      <c r="I8" s="86">
        <f>14.6*(1.5^$Q$50)</f>
        <v>14.6</v>
      </c>
      <c r="J8" s="86">
        <f t="shared" si="1"/>
        <v>2247</v>
      </c>
      <c r="K8" s="85">
        <v>780</v>
      </c>
      <c r="L8" s="86">
        <f>18*(1.5^$Q$50)</f>
        <v>18</v>
      </c>
      <c r="M8" s="86">
        <f t="shared" si="2"/>
        <v>2040</v>
      </c>
      <c r="N8" s="8" t="s">
        <v>40</v>
      </c>
      <c r="O8" s="8" t="s">
        <v>41</v>
      </c>
    </row>
    <row r="9" customFormat="1" spans="1:15">
      <c r="A9" s="31" t="s">
        <v>42</v>
      </c>
      <c r="B9" s="20" t="s">
        <v>21</v>
      </c>
      <c r="C9" s="10" t="s">
        <v>43</v>
      </c>
      <c r="D9" s="84">
        <v>70</v>
      </c>
      <c r="E9" s="85">
        <v>1475</v>
      </c>
      <c r="F9" s="86">
        <f>135*(1.5^$Q$50)</f>
        <v>135</v>
      </c>
      <c r="G9" s="86">
        <f t="shared" si="0"/>
        <v>10925</v>
      </c>
      <c r="H9" s="85">
        <v>25</v>
      </c>
      <c r="I9" s="86">
        <f>3*(1.5^$Q$50)</f>
        <v>3</v>
      </c>
      <c r="J9" s="86">
        <f t="shared" si="1"/>
        <v>235</v>
      </c>
      <c r="K9" s="85">
        <v>1250</v>
      </c>
      <c r="L9" s="86">
        <f>126*(1.5^$Q$50)</f>
        <v>126</v>
      </c>
      <c r="M9" s="86">
        <f t="shared" si="2"/>
        <v>10070</v>
      </c>
      <c r="N9" s="8" t="s">
        <v>44</v>
      </c>
      <c r="O9" s="8" t="s">
        <v>45</v>
      </c>
    </row>
    <row r="10" customFormat="1" spans="1:15">
      <c r="A10" s="31" t="s">
        <v>46</v>
      </c>
      <c r="B10" s="24" t="s">
        <v>16</v>
      </c>
      <c r="C10" s="10" t="s">
        <v>43</v>
      </c>
      <c r="D10" s="84">
        <v>70</v>
      </c>
      <c r="E10" s="85">
        <v>300</v>
      </c>
      <c r="F10" s="86">
        <f>18*(1.5^$Q$50)</f>
        <v>18</v>
      </c>
      <c r="G10" s="86">
        <f t="shared" si="0"/>
        <v>1560</v>
      </c>
      <c r="H10" s="85">
        <v>1275</v>
      </c>
      <c r="I10" s="86">
        <f>126*(1.5^$Q$50)</f>
        <v>126</v>
      </c>
      <c r="J10" s="86">
        <f t="shared" si="1"/>
        <v>10095</v>
      </c>
      <c r="K10" s="85">
        <v>1125</v>
      </c>
      <c r="L10" s="86">
        <f>124.5*(1.5^$Q$50)</f>
        <v>124.5</v>
      </c>
      <c r="M10" s="86">
        <f t="shared" si="2"/>
        <v>9840</v>
      </c>
      <c r="N10" s="8" t="s">
        <v>47</v>
      </c>
      <c r="O10" s="8" t="s">
        <v>48</v>
      </c>
    </row>
    <row r="11" customFormat="1" spans="1:15">
      <c r="A11" s="31" t="s">
        <v>49</v>
      </c>
      <c r="B11" s="28" t="s">
        <v>30</v>
      </c>
      <c r="C11" s="10" t="s">
        <v>43</v>
      </c>
      <c r="D11" s="84">
        <v>70</v>
      </c>
      <c r="E11" s="85">
        <v>125</v>
      </c>
      <c r="F11" s="86">
        <f>3*(1.5^$Q$50)</f>
        <v>3</v>
      </c>
      <c r="G11" s="86">
        <f t="shared" si="0"/>
        <v>335</v>
      </c>
      <c r="H11" s="85">
        <v>1250</v>
      </c>
      <c r="I11" s="86">
        <f>135*(1.5^$Q$50)</f>
        <v>135</v>
      </c>
      <c r="J11" s="86">
        <f t="shared" si="1"/>
        <v>10700</v>
      </c>
      <c r="K11" s="85">
        <v>900</v>
      </c>
      <c r="L11" s="86">
        <f>126*(1.5^$Q$50)</f>
        <v>126</v>
      </c>
      <c r="M11" s="86">
        <f t="shared" si="2"/>
        <v>9720</v>
      </c>
      <c r="N11" s="8" t="s">
        <v>50</v>
      </c>
      <c r="O11" s="8" t="s">
        <v>51</v>
      </c>
    </row>
    <row r="12" customFormat="1" spans="1:15">
      <c r="A12" s="31" t="s">
        <v>52</v>
      </c>
      <c r="B12" s="28" t="s">
        <v>30</v>
      </c>
      <c r="C12" s="7" t="s">
        <v>17</v>
      </c>
      <c r="D12" s="84">
        <v>70</v>
      </c>
      <c r="E12" s="85">
        <v>275</v>
      </c>
      <c r="F12" s="86">
        <f>2.7*(1.5^$Q$50)</f>
        <v>2.7</v>
      </c>
      <c r="G12" s="86">
        <f t="shared" si="0"/>
        <v>464</v>
      </c>
      <c r="H12" s="85">
        <v>1075</v>
      </c>
      <c r="I12" s="86">
        <f>14.6*(1.5^$Q$50)</f>
        <v>14.6</v>
      </c>
      <c r="J12" s="86">
        <f t="shared" si="1"/>
        <v>2097</v>
      </c>
      <c r="K12" s="85">
        <v>675</v>
      </c>
      <c r="L12" s="86">
        <f>18*(1.5^$Q$50)</f>
        <v>18</v>
      </c>
      <c r="M12" s="86">
        <f t="shared" si="2"/>
        <v>1935</v>
      </c>
      <c r="N12" s="8" t="s">
        <v>53</v>
      </c>
      <c r="O12" s="8" t="s">
        <v>54</v>
      </c>
    </row>
    <row r="13" customFormat="1" spans="1:15">
      <c r="A13" s="31" t="s">
        <v>55</v>
      </c>
      <c r="B13" s="28" t="s">
        <v>30</v>
      </c>
      <c r="C13" s="10" t="s">
        <v>43</v>
      </c>
      <c r="D13" s="84">
        <v>70</v>
      </c>
      <c r="E13" s="85">
        <v>225</v>
      </c>
      <c r="F13" s="86">
        <f>0.5*(1.5^$Q$50)</f>
        <v>0.5</v>
      </c>
      <c r="G13" s="86">
        <f t="shared" si="0"/>
        <v>260</v>
      </c>
      <c r="H13" s="85">
        <v>1250</v>
      </c>
      <c r="I13" s="86">
        <f>22.5*(1.5^$Q$50)</f>
        <v>22.5</v>
      </c>
      <c r="J13" s="86">
        <f t="shared" si="1"/>
        <v>2825</v>
      </c>
      <c r="K13" s="85">
        <v>650</v>
      </c>
      <c r="L13" s="86">
        <f>21*(1.5^$Q$50)</f>
        <v>21</v>
      </c>
      <c r="M13" s="86">
        <f t="shared" si="2"/>
        <v>2120</v>
      </c>
      <c r="N13" s="8" t="s">
        <v>56</v>
      </c>
      <c r="O13" s="8" t="s">
        <v>50</v>
      </c>
    </row>
    <row r="14" customFormat="1" spans="1:15">
      <c r="A14" s="31" t="s">
        <v>57</v>
      </c>
      <c r="B14" s="20" t="s">
        <v>21</v>
      </c>
      <c r="C14" s="10" t="s">
        <v>22</v>
      </c>
      <c r="D14" s="84">
        <v>70</v>
      </c>
      <c r="E14" s="85">
        <v>1225</v>
      </c>
      <c r="F14" s="86">
        <f>16.5*(1.5^$Q$50)</f>
        <v>16.5</v>
      </c>
      <c r="G14" s="86">
        <f t="shared" si="0"/>
        <v>2380</v>
      </c>
      <c r="H14" s="85">
        <v>45</v>
      </c>
      <c r="I14" s="86">
        <f>0.3*(1.5^$Q$50)</f>
        <v>0.3</v>
      </c>
      <c r="J14" s="86">
        <f t="shared" si="1"/>
        <v>66</v>
      </c>
      <c r="K14" s="85">
        <v>835</v>
      </c>
      <c r="L14" s="86">
        <f>20*(1.5^$Q$50)</f>
        <v>20</v>
      </c>
      <c r="M14" s="86">
        <f t="shared" si="2"/>
        <v>2235</v>
      </c>
      <c r="N14" s="8" t="s">
        <v>58</v>
      </c>
      <c r="O14" s="8" t="s">
        <v>59</v>
      </c>
    </row>
    <row r="15" customFormat="1" spans="1:15">
      <c r="A15" s="31" t="s">
        <v>60</v>
      </c>
      <c r="B15" s="24" t="s">
        <v>16</v>
      </c>
      <c r="C15" s="10" t="s">
        <v>31</v>
      </c>
      <c r="D15" s="84">
        <v>70</v>
      </c>
      <c r="E15" s="85">
        <v>313</v>
      </c>
      <c r="F15" s="86">
        <f>3.3*(1.5^$Q$50)</f>
        <v>3.3</v>
      </c>
      <c r="G15" s="86">
        <f t="shared" si="0"/>
        <v>544</v>
      </c>
      <c r="H15" s="85">
        <v>1213</v>
      </c>
      <c r="I15" s="86">
        <f>20.8*(1.5^$Q$50)</f>
        <v>20.8</v>
      </c>
      <c r="J15" s="86">
        <f t="shared" si="1"/>
        <v>2669</v>
      </c>
      <c r="K15" s="85">
        <v>1011</v>
      </c>
      <c r="L15" s="86">
        <f>14.9*(1.5^$Q$50)</f>
        <v>14.9</v>
      </c>
      <c r="M15" s="86">
        <f t="shared" si="2"/>
        <v>2054</v>
      </c>
      <c r="N15" s="8" t="s">
        <v>61</v>
      </c>
      <c r="O15" s="8" t="s">
        <v>62</v>
      </c>
    </row>
    <row r="16" customFormat="1" spans="1:15">
      <c r="A16" s="31" t="s">
        <v>63</v>
      </c>
      <c r="B16" s="20" t="s">
        <v>21</v>
      </c>
      <c r="C16" s="10" t="s">
        <v>22</v>
      </c>
      <c r="D16" s="84">
        <v>70</v>
      </c>
      <c r="E16" s="85">
        <v>1000</v>
      </c>
      <c r="F16" s="86">
        <f>18*(1.5^$Q$50)</f>
        <v>18</v>
      </c>
      <c r="G16" s="86">
        <f t="shared" si="0"/>
        <v>2260</v>
      </c>
      <c r="H16" s="85">
        <v>215</v>
      </c>
      <c r="I16" s="86">
        <f>0.1*(1.5^$Q$50)</f>
        <v>0.1</v>
      </c>
      <c r="J16" s="86">
        <f t="shared" si="1"/>
        <v>222</v>
      </c>
      <c r="K16" s="85">
        <v>1000</v>
      </c>
      <c r="L16" s="86">
        <f>27*(1.5^$Q$50)</f>
        <v>27</v>
      </c>
      <c r="M16" s="86">
        <f t="shared" si="2"/>
        <v>2890</v>
      </c>
      <c r="N16" s="8" t="s">
        <v>64</v>
      </c>
      <c r="O16" s="8" t="s">
        <v>45</v>
      </c>
    </row>
    <row r="17" customFormat="1" spans="1:17">
      <c r="A17" s="31" t="s">
        <v>65</v>
      </c>
      <c r="B17" s="23" t="s">
        <v>26</v>
      </c>
      <c r="C17" s="10" t="s">
        <v>43</v>
      </c>
      <c r="D17" s="84">
        <v>70</v>
      </c>
      <c r="E17" s="85">
        <v>699</v>
      </c>
      <c r="F17" s="86">
        <f>10.2*6*(1.5^$Q$50)</f>
        <v>61.2</v>
      </c>
      <c r="G17" s="86">
        <f t="shared" si="0"/>
        <v>4983</v>
      </c>
      <c r="H17" s="85">
        <v>80</v>
      </c>
      <c r="I17" s="86">
        <f>10.2*6*(1.5^$Q$50)</f>
        <v>61.2</v>
      </c>
      <c r="J17" s="86">
        <f t="shared" si="1"/>
        <v>4364</v>
      </c>
      <c r="K17" s="85">
        <v>1666</v>
      </c>
      <c r="L17" s="86">
        <f>34*6*(1.5^$Q$50)</f>
        <v>204</v>
      </c>
      <c r="M17" s="86">
        <f t="shared" si="2"/>
        <v>15946</v>
      </c>
      <c r="N17" s="8" t="s">
        <v>66</v>
      </c>
      <c r="O17" s="8" t="s">
        <v>67</v>
      </c>
    </row>
    <row r="18" customFormat="1" spans="1:17">
      <c r="A18" s="31" t="s">
        <v>68</v>
      </c>
      <c r="B18" s="20" t="s">
        <v>21</v>
      </c>
      <c r="C18" s="7" t="s">
        <v>17</v>
      </c>
      <c r="D18" s="84">
        <v>70</v>
      </c>
      <c r="E18" s="85">
        <v>1025</v>
      </c>
      <c r="F18" s="86">
        <f>17*(1.5^$Q$50)</f>
        <v>17</v>
      </c>
      <c r="G18" s="86">
        <f t="shared" si="0"/>
        <v>2215</v>
      </c>
      <c r="H18" s="85">
        <v>25</v>
      </c>
      <c r="I18" s="86">
        <f>0.3*(1.5^$Q$50)</f>
        <v>0.3</v>
      </c>
      <c r="J18" s="86">
        <f t="shared" si="1"/>
        <v>46</v>
      </c>
      <c r="K18" s="85">
        <v>1075</v>
      </c>
      <c r="L18" s="86">
        <f>18*(1.5^$Q$50)</f>
        <v>18</v>
      </c>
      <c r="M18" s="86">
        <f t="shared" si="2"/>
        <v>2335</v>
      </c>
      <c r="N18" s="8" t="s">
        <v>69</v>
      </c>
      <c r="O18" s="8" t="s">
        <v>70</v>
      </c>
    </row>
    <row r="19" customFormat="1" spans="1:17">
      <c r="A19" s="31" t="s">
        <v>71</v>
      </c>
      <c r="B19" s="24" t="s">
        <v>16</v>
      </c>
      <c r="C19" s="10" t="s">
        <v>22</v>
      </c>
      <c r="D19" s="84">
        <v>70</v>
      </c>
      <c r="E19" s="85">
        <v>100</v>
      </c>
      <c r="F19" s="86">
        <f>4.2*(1.5^$Q$50)</f>
        <v>4.2</v>
      </c>
      <c r="G19" s="86">
        <f t="shared" si="0"/>
        <v>394</v>
      </c>
      <c r="H19" s="85">
        <v>1025</v>
      </c>
      <c r="I19" s="86">
        <f>15.1*(1.5^$Q$50)</f>
        <v>15.1</v>
      </c>
      <c r="J19" s="86">
        <f t="shared" si="1"/>
        <v>2082</v>
      </c>
      <c r="K19" s="85">
        <v>1025</v>
      </c>
      <c r="L19" s="86">
        <f>12*(1.5^$Q$50)</f>
        <v>12</v>
      </c>
      <c r="M19" s="86">
        <f t="shared" si="2"/>
        <v>1865</v>
      </c>
      <c r="N19" s="8" t="s">
        <v>18</v>
      </c>
      <c r="O19" s="8" t="s">
        <v>47</v>
      </c>
    </row>
    <row r="20" customFormat="1" spans="1:17">
      <c r="A20" s="31" t="s">
        <v>72</v>
      </c>
      <c r="B20" s="23" t="s">
        <v>26</v>
      </c>
      <c r="C20" s="10" t="s">
        <v>22</v>
      </c>
      <c r="D20" s="84">
        <v>70</v>
      </c>
      <c r="E20" s="85">
        <v>600</v>
      </c>
      <c r="F20" s="86">
        <f>10*(1.5^$Q$50)</f>
        <v>10</v>
      </c>
      <c r="G20" s="86">
        <f t="shared" si="0"/>
        <v>1300</v>
      </c>
      <c r="H20" s="85">
        <v>40</v>
      </c>
      <c r="I20" s="86">
        <f>0.7*(1.5^$Q$50)</f>
        <v>0.7</v>
      </c>
      <c r="J20" s="86">
        <f t="shared" si="1"/>
        <v>89</v>
      </c>
      <c r="K20" s="85">
        <v>1600</v>
      </c>
      <c r="L20" s="86">
        <f>40*(1.5^$Q$50)</f>
        <v>40</v>
      </c>
      <c r="M20" s="86">
        <f t="shared" si="2"/>
        <v>4400</v>
      </c>
      <c r="N20" s="8" t="s">
        <v>73</v>
      </c>
      <c r="O20" s="8" t="s">
        <v>74</v>
      </c>
    </row>
    <row r="21" customFormat="1" spans="1:17">
      <c r="A21" s="31" t="s">
        <v>75</v>
      </c>
      <c r="B21" s="23" t="s">
        <v>26</v>
      </c>
      <c r="C21" s="10" t="s">
        <v>22</v>
      </c>
      <c r="D21" s="84">
        <v>70</v>
      </c>
      <c r="E21" s="85">
        <v>615</v>
      </c>
      <c r="F21" s="86">
        <f>14.5*(1.5^$Q$50)</f>
        <v>14.5</v>
      </c>
      <c r="G21" s="86">
        <f t="shared" si="0"/>
        <v>1630</v>
      </c>
      <c r="H21" s="85">
        <v>35</v>
      </c>
      <c r="I21" s="86">
        <f>1*(1.5^$Q$50)</f>
        <v>1</v>
      </c>
      <c r="J21" s="86">
        <f t="shared" si="1"/>
        <v>105</v>
      </c>
      <c r="K21" s="85">
        <v>2250</v>
      </c>
      <c r="L21" s="86">
        <f>37*(1.5^$Q$50)</f>
        <v>37</v>
      </c>
      <c r="M21" s="86">
        <f t="shared" si="2"/>
        <v>4840</v>
      </c>
      <c r="N21" s="8" t="s">
        <v>76</v>
      </c>
      <c r="O21" s="8" t="s">
        <v>77</v>
      </c>
    </row>
    <row r="22" customFormat="1" spans="1:17">
      <c r="A22" s="31" t="s">
        <v>78</v>
      </c>
      <c r="B22" s="24" t="s">
        <v>16</v>
      </c>
      <c r="C22" s="10" t="s">
        <v>22</v>
      </c>
      <c r="D22" s="84">
        <v>70</v>
      </c>
      <c r="E22" s="85">
        <v>250</v>
      </c>
      <c r="F22" s="86">
        <f>3*(1.5^$Q$50)</f>
        <v>3</v>
      </c>
      <c r="G22" s="86">
        <f t="shared" si="0"/>
        <v>460</v>
      </c>
      <c r="H22" s="85">
        <v>970</v>
      </c>
      <c r="I22" s="86">
        <f>19*(1.5^$Q$50)</f>
        <v>19</v>
      </c>
      <c r="J22" s="86">
        <f t="shared" si="1"/>
        <v>2300</v>
      </c>
      <c r="K22" s="85">
        <v>809</v>
      </c>
      <c r="L22" s="86">
        <f>11*(1.5^$Q$50)</f>
        <v>11</v>
      </c>
      <c r="M22" s="86">
        <f t="shared" si="2"/>
        <v>1579</v>
      </c>
      <c r="N22" s="8" t="s">
        <v>79</v>
      </c>
      <c r="O22" s="8" t="s">
        <v>80</v>
      </c>
    </row>
    <row r="23" customFormat="1" spans="1:17">
      <c r="A23" s="31" t="s">
        <v>81</v>
      </c>
      <c r="B23" s="20" t="s">
        <v>21</v>
      </c>
      <c r="C23" s="10" t="s">
        <v>82</v>
      </c>
      <c r="D23" s="84">
        <v>70</v>
      </c>
      <c r="E23" s="85">
        <v>666</v>
      </c>
      <c r="F23" s="86">
        <f>9.9*(1.5^$Q$50)</f>
        <v>9.9</v>
      </c>
      <c r="G23" s="86">
        <f t="shared" si="0"/>
        <v>1359</v>
      </c>
      <c r="H23" s="85">
        <v>35</v>
      </c>
      <c r="I23" s="86">
        <f>1.1*(1.5^$Q$50)</f>
        <v>1.1</v>
      </c>
      <c r="J23" s="86">
        <f t="shared" si="1"/>
        <v>112</v>
      </c>
      <c r="K23" s="85">
        <v>2180</v>
      </c>
      <c r="L23" s="86">
        <f>44*(1.5^$Q$50)</f>
        <v>44</v>
      </c>
      <c r="M23" s="86">
        <f t="shared" si="2"/>
        <v>5260</v>
      </c>
      <c r="N23" s="8" t="s">
        <v>83</v>
      </c>
      <c r="O23" s="8" t="s">
        <v>84</v>
      </c>
    </row>
    <row r="24" customFormat="1" spans="1:17">
      <c r="A24" s="31" t="s">
        <v>85</v>
      </c>
      <c r="B24" s="23" t="s">
        <v>26</v>
      </c>
      <c r="C24" s="10" t="s">
        <v>22</v>
      </c>
      <c r="D24" s="84">
        <v>70</v>
      </c>
      <c r="E24" s="85">
        <v>575</v>
      </c>
      <c r="F24" s="86">
        <f>9.9*(1.5^$Q$50)</f>
        <v>9.9</v>
      </c>
      <c r="G24" s="86">
        <f t="shared" si="0"/>
        <v>1268</v>
      </c>
      <c r="H24" s="85">
        <v>25</v>
      </c>
      <c r="I24" s="86">
        <f>1.1*(1.5^$Q$50)</f>
        <v>1.1</v>
      </c>
      <c r="J24" s="86">
        <f t="shared" si="1"/>
        <v>102</v>
      </c>
      <c r="K24" s="85">
        <v>1982</v>
      </c>
      <c r="L24" s="86">
        <f>44*(1.5^$Q$50)</f>
        <v>44</v>
      </c>
      <c r="M24" s="86">
        <f t="shared" si="2"/>
        <v>5062</v>
      </c>
      <c r="N24" s="8" t="s">
        <v>86</v>
      </c>
      <c r="O24" s="8" t="s">
        <v>87</v>
      </c>
      <c r="Q24" t="s">
        <v>88</v>
      </c>
    </row>
    <row r="25" customFormat="1" spans="1:17">
      <c r="A25" s="31" t="s">
        <v>89</v>
      </c>
      <c r="B25" s="28" t="s">
        <v>30</v>
      </c>
      <c r="C25" s="10" t="s">
        <v>82</v>
      </c>
      <c r="D25" s="84"/>
      <c r="E25" s="85"/>
      <c r="F25" s="86"/>
      <c r="G25" s="86"/>
      <c r="H25" s="85"/>
      <c r="I25" s="86"/>
      <c r="J25" s="86"/>
      <c r="K25" s="85"/>
      <c r="L25" s="86"/>
      <c r="M25" s="86"/>
      <c r="N25" s="8" t="s">
        <v>90</v>
      </c>
      <c r="O25" s="8" t="s">
        <v>91</v>
      </c>
    </row>
    <row r="26" customFormat="1" spans="1:17">
      <c r="A26" s="31" t="s">
        <v>92</v>
      </c>
      <c r="B26" s="23" t="s">
        <v>26</v>
      </c>
      <c r="C26" s="10" t="s">
        <v>82</v>
      </c>
      <c r="D26" s="84">
        <v>70</v>
      </c>
      <c r="E26" s="85">
        <v>699</v>
      </c>
      <c r="F26" s="86">
        <f>30.6*(1.5^$Q$50)</f>
        <v>30.6</v>
      </c>
      <c r="G26" s="86">
        <f>E26+D26*F26</f>
        <v>2841</v>
      </c>
      <c r="H26" s="85">
        <v>80</v>
      </c>
      <c r="I26" s="86">
        <f>30.6*(1.5^$Q$50)</f>
        <v>30.6</v>
      </c>
      <c r="J26" s="86">
        <f>H26+I26*D26</f>
        <v>2222</v>
      </c>
      <c r="K26" s="85">
        <v>1666</v>
      </c>
      <c r="L26" s="86">
        <f>102*(1.5^$Q$50)</f>
        <v>102</v>
      </c>
      <c r="M26" s="86">
        <f>K26+L26*D26</f>
        <v>8806</v>
      </c>
      <c r="N26" s="8" t="s">
        <v>93</v>
      </c>
      <c r="O26" s="8" t="s">
        <v>94</v>
      </c>
    </row>
    <row r="27" customFormat="1" spans="1:17">
      <c r="A27" s="31" t="s">
        <v>95</v>
      </c>
      <c r="B27" s="24" t="s">
        <v>16</v>
      </c>
      <c r="C27" s="7" t="s">
        <v>82</v>
      </c>
      <c r="D27" s="84"/>
      <c r="E27" s="85"/>
      <c r="F27" s="86"/>
      <c r="G27" s="86"/>
      <c r="H27" s="85"/>
      <c r="I27" s="86"/>
      <c r="J27" s="86"/>
      <c r="K27" s="85"/>
      <c r="L27" s="86"/>
      <c r="M27" s="86"/>
      <c r="N27" s="8" t="s">
        <v>96</v>
      </c>
      <c r="O27" s="8" t="s">
        <v>97</v>
      </c>
    </row>
    <row r="28" customFormat="1" spans="1:17">
      <c r="A28" s="31" t="s">
        <v>98</v>
      </c>
      <c r="B28" s="23" t="s">
        <v>26</v>
      </c>
      <c r="C28" s="7" t="s">
        <v>17</v>
      </c>
      <c r="D28" s="84">
        <v>70</v>
      </c>
      <c r="E28" s="85">
        <v>675</v>
      </c>
      <c r="F28" s="86">
        <f>13*(1.5^$Q$50)</f>
        <v>13</v>
      </c>
      <c r="G28" s="86">
        <f>E28+D28*F28</f>
        <v>1585</v>
      </c>
      <c r="H28" s="85">
        <v>75</v>
      </c>
      <c r="I28" s="86">
        <f>0.3*(1.5^$Q$50)</f>
        <v>0.3</v>
      </c>
      <c r="J28" s="86">
        <f>H28+I28*D28</f>
        <v>96</v>
      </c>
      <c r="K28" s="85">
        <v>1375</v>
      </c>
      <c r="L28" s="86">
        <f>30*(1.5^$Q$50)</f>
        <v>30</v>
      </c>
      <c r="M28" s="86">
        <f>K28+L28*D28</f>
        <v>3475</v>
      </c>
      <c r="N28" s="8" t="s">
        <v>99</v>
      </c>
      <c r="O28" s="8" t="s">
        <v>28</v>
      </c>
    </row>
    <row r="29" customFormat="1" spans="1:17">
      <c r="A29" s="31" t="s">
        <v>100</v>
      </c>
      <c r="B29" s="20" t="s">
        <v>21</v>
      </c>
      <c r="C29" s="10" t="s">
        <v>22</v>
      </c>
      <c r="D29" s="84">
        <v>70</v>
      </c>
      <c r="E29" s="85">
        <v>850</v>
      </c>
      <c r="F29" s="86">
        <f>15.2*(1.5^$Q$50)</f>
        <v>15.2</v>
      </c>
      <c r="G29" s="86">
        <f>E29+D29*F29</f>
        <v>1914</v>
      </c>
      <c r="H29" s="85">
        <v>150</v>
      </c>
      <c r="I29" s="86">
        <f>0.2*(1.5^$Q$50)</f>
        <v>0.2</v>
      </c>
      <c r="J29" s="86">
        <f>H29+I29*D29</f>
        <v>164</v>
      </c>
      <c r="K29" s="85">
        <v>1125</v>
      </c>
      <c r="L29" s="86">
        <f>24*(1.5^$Q$50)</f>
        <v>24</v>
      </c>
      <c r="M29" s="86">
        <f>K29+L29*D29</f>
        <v>2805</v>
      </c>
      <c r="N29" s="8" t="s">
        <v>101</v>
      </c>
      <c r="O29" s="8" t="s">
        <v>102</v>
      </c>
    </row>
    <row r="30" customFormat="1" spans="1:17">
      <c r="A30" s="31" t="s">
        <v>103</v>
      </c>
      <c r="B30" s="23" t="s">
        <v>26</v>
      </c>
      <c r="C30" s="10" t="s">
        <v>22</v>
      </c>
      <c r="D30" s="84">
        <v>70</v>
      </c>
      <c r="E30" s="85">
        <v>1000</v>
      </c>
      <c r="F30" s="86">
        <f>17*(1.5^$Q$50)</f>
        <v>17</v>
      </c>
      <c r="G30" s="86">
        <f>E30+D30*F30</f>
        <v>2190</v>
      </c>
      <c r="H30" s="85">
        <v>125</v>
      </c>
      <c r="I30" s="86">
        <f>0.7*(1.5^$Q$50)</f>
        <v>0.7</v>
      </c>
      <c r="J30" s="86">
        <f>H30+I30*D30</f>
        <v>174</v>
      </c>
      <c r="K30" s="85">
        <v>1000</v>
      </c>
      <c r="L30" s="86">
        <f>17*(1.5^$Q$50)</f>
        <v>17</v>
      </c>
      <c r="M30" s="86">
        <f>K30+L30*D30</f>
        <v>2190</v>
      </c>
      <c r="N30" s="8" t="s">
        <v>44</v>
      </c>
      <c r="O30" s="8" t="s">
        <v>67</v>
      </c>
    </row>
    <row r="31" customFormat="1" spans="1:17">
      <c r="A31" s="31" t="s">
        <v>104</v>
      </c>
      <c r="B31" s="20" t="s">
        <v>21</v>
      </c>
      <c r="C31" s="7" t="s">
        <v>17</v>
      </c>
      <c r="D31" s="84">
        <v>70</v>
      </c>
      <c r="E31" s="85">
        <v>1175</v>
      </c>
      <c r="F31" s="86">
        <f>18*(1.5^$Q$50)</f>
        <v>18</v>
      </c>
      <c r="G31" s="86">
        <f>E31+D31*F31</f>
        <v>2435</v>
      </c>
      <c r="H31" s="85">
        <v>25</v>
      </c>
      <c r="I31" s="86">
        <f>0.3*(1.5^$Q$50)</f>
        <v>0.3</v>
      </c>
      <c r="J31" s="86">
        <f>H31+I31*D31</f>
        <v>46</v>
      </c>
      <c r="K31" s="85">
        <v>925</v>
      </c>
      <c r="L31" s="86">
        <f>15*(1.5^$Q$50)</f>
        <v>15</v>
      </c>
      <c r="M31" s="86">
        <f>K31+L31*D31</f>
        <v>1975</v>
      </c>
      <c r="N31" s="8" t="s">
        <v>105</v>
      </c>
      <c r="O31" s="8" t="s">
        <v>106</v>
      </c>
    </row>
    <row r="32" customFormat="1" spans="1:17">
      <c r="A32" s="31" t="s">
        <v>107</v>
      </c>
      <c r="B32" s="28" t="s">
        <v>30</v>
      </c>
      <c r="C32" s="7" t="s">
        <v>17</v>
      </c>
      <c r="D32" s="84">
        <v>70</v>
      </c>
      <c r="E32" s="85">
        <v>250</v>
      </c>
      <c r="F32" s="86">
        <f>2.1*(1.5^$Q$50)</f>
        <v>2.1</v>
      </c>
      <c r="G32" s="86">
        <f>E32+D32*F32</f>
        <v>397</v>
      </c>
      <c r="H32" s="85">
        <v>1125</v>
      </c>
      <c r="I32" s="86">
        <f>14.6*(1.5^$Q$50)</f>
        <v>14.6</v>
      </c>
      <c r="J32" s="86">
        <f>H32+I32*D32</f>
        <v>2147</v>
      </c>
      <c r="K32" s="85">
        <v>750</v>
      </c>
      <c r="L32" s="86">
        <f>20*(1.5^$Q$50)</f>
        <v>20</v>
      </c>
      <c r="M32" s="86">
        <f>K32+L32*D32</f>
        <v>2150</v>
      </c>
      <c r="N32" s="8" t="s">
        <v>108</v>
      </c>
      <c r="O32" s="8" t="s">
        <v>50</v>
      </c>
    </row>
    <row r="33" customFormat="1" spans="1:18">
      <c r="A33" s="31" t="s">
        <v>109</v>
      </c>
      <c r="B33" s="28" t="s">
        <v>30</v>
      </c>
      <c r="C33" s="7"/>
      <c r="D33" s="84"/>
      <c r="E33" s="85"/>
      <c r="F33" s="86"/>
      <c r="G33" s="86"/>
      <c r="H33" s="85"/>
      <c r="I33" s="86"/>
      <c r="J33" s="86"/>
      <c r="K33" s="85"/>
      <c r="L33" s="86"/>
      <c r="M33" s="86"/>
      <c r="N33" s="8" t="s">
        <v>110</v>
      </c>
      <c r="O33" s="8" t="s">
        <v>111</v>
      </c>
    </row>
    <row r="34" customFormat="1" spans="1:18">
      <c r="A34" s="31" t="s">
        <v>112</v>
      </c>
      <c r="B34" s="24" t="s">
        <v>16</v>
      </c>
      <c r="C34" s="7" t="s">
        <v>17</v>
      </c>
      <c r="D34" s="84">
        <v>70</v>
      </c>
      <c r="E34" s="85">
        <v>250</v>
      </c>
      <c r="F34" s="86">
        <f>4.2*(1.5^$Q$50)</f>
        <v>4.2</v>
      </c>
      <c r="G34" s="86">
        <f t="shared" ref="G34:G40" si="3">E34+D34*F34</f>
        <v>544</v>
      </c>
      <c r="H34" s="85">
        <v>1125</v>
      </c>
      <c r="I34" s="86">
        <f>15.1*(1.5^$Q$50)</f>
        <v>15.1</v>
      </c>
      <c r="J34" s="86">
        <f t="shared" ref="J34:J40" si="4">H34+I34*D34</f>
        <v>2182</v>
      </c>
      <c r="K34" s="85">
        <v>750</v>
      </c>
      <c r="L34" s="86">
        <f>12*(1.5^$Q$50)</f>
        <v>12</v>
      </c>
      <c r="M34" s="86">
        <f t="shared" ref="M34:M40" si="5">K34+L34*D34</f>
        <v>1590</v>
      </c>
      <c r="N34" s="8" t="s">
        <v>35</v>
      </c>
      <c r="O34" s="8" t="s">
        <v>48</v>
      </c>
    </row>
    <row r="35" customFormat="1" spans="1:18">
      <c r="A35" s="31" t="s">
        <v>113</v>
      </c>
      <c r="B35" s="20" t="s">
        <v>21</v>
      </c>
      <c r="C35" s="10" t="s">
        <v>82</v>
      </c>
      <c r="D35" s="84">
        <v>70</v>
      </c>
      <c r="E35" s="85">
        <v>1088</v>
      </c>
      <c r="F35" s="86">
        <f>99*(1.5^$Q$50)</f>
        <v>99</v>
      </c>
      <c r="G35" s="86">
        <f t="shared" si="3"/>
        <v>8018</v>
      </c>
      <c r="H35" s="85">
        <v>1262</v>
      </c>
      <c r="I35" s="86">
        <f>131*(1.5^$Q$50)</f>
        <v>131</v>
      </c>
      <c r="J35" s="86">
        <f t="shared" si="4"/>
        <v>10432</v>
      </c>
      <c r="K35" s="85">
        <v>1455</v>
      </c>
      <c r="L35" s="86">
        <f>165*(1.5^$Q$50)</f>
        <v>165</v>
      </c>
      <c r="M35" s="86">
        <f t="shared" si="5"/>
        <v>13005</v>
      </c>
      <c r="N35" s="8" t="s">
        <v>114</v>
      </c>
      <c r="O35" s="8" t="s">
        <v>115</v>
      </c>
    </row>
    <row r="36" customFormat="1" spans="1:18">
      <c r="A36" s="31" t="s">
        <v>116</v>
      </c>
      <c r="B36" s="23" t="s">
        <v>26</v>
      </c>
      <c r="C36" s="10" t="s">
        <v>31</v>
      </c>
      <c r="D36" s="84">
        <v>70</v>
      </c>
      <c r="E36" s="85">
        <v>655</v>
      </c>
      <c r="F36" s="86">
        <f>25*(1.5^$Q$50)</f>
        <v>25</v>
      </c>
      <c r="G36" s="86">
        <f t="shared" si="3"/>
        <v>2405</v>
      </c>
      <c r="H36" s="85">
        <v>52</v>
      </c>
      <c r="I36" s="86">
        <f>2.4*(1.5^$Q$50)</f>
        <v>2.4</v>
      </c>
      <c r="J36" s="86">
        <f t="shared" si="4"/>
        <v>220</v>
      </c>
      <c r="K36" s="85">
        <v>2050</v>
      </c>
      <c r="L36" s="86">
        <f>84*(1.5^$Q$50)</f>
        <v>84</v>
      </c>
      <c r="M36" s="86">
        <f t="shared" si="5"/>
        <v>7930</v>
      </c>
      <c r="N36" s="8" t="s">
        <v>117</v>
      </c>
      <c r="O36" s="8" t="s">
        <v>80</v>
      </c>
      <c r="Q36">
        <v>5</v>
      </c>
      <c r="R36" t="s">
        <v>118</v>
      </c>
    </row>
    <row r="37" customFormat="1" spans="1:18">
      <c r="A37" s="19" t="s">
        <v>119</v>
      </c>
      <c r="B37" s="23" t="s">
        <v>26</v>
      </c>
      <c r="C37" s="10" t="s">
        <v>120</v>
      </c>
      <c r="D37" s="84">
        <v>70</v>
      </c>
      <c r="E37" s="85">
        <v>330</v>
      </c>
      <c r="F37" s="86">
        <f>8.2*(1.5^$Q$50)</f>
        <v>8.2</v>
      </c>
      <c r="G37" s="86">
        <f t="shared" si="3"/>
        <v>904</v>
      </c>
      <c r="H37" s="85">
        <v>12</v>
      </c>
      <c r="I37" s="86">
        <f>0.3*(1.5^$Q$50)</f>
        <v>0.3</v>
      </c>
      <c r="J37" s="86">
        <f t="shared" si="4"/>
        <v>33</v>
      </c>
      <c r="K37" s="85">
        <v>1160</v>
      </c>
      <c r="L37" s="86">
        <f>32*(1.5^$Q$50)</f>
        <v>32</v>
      </c>
      <c r="M37" s="86">
        <f t="shared" si="5"/>
        <v>3400</v>
      </c>
      <c r="N37" s="8" t="s">
        <v>121</v>
      </c>
      <c r="O37" s="8" t="s">
        <v>122</v>
      </c>
    </row>
    <row r="38" customFormat="1" spans="1:18">
      <c r="A38" s="19" t="s">
        <v>123</v>
      </c>
      <c r="B38" s="23" t="s">
        <v>26</v>
      </c>
      <c r="C38" s="10" t="s">
        <v>124</v>
      </c>
      <c r="D38" s="84">
        <v>70</v>
      </c>
      <c r="E38" s="85">
        <v>482</v>
      </c>
      <c r="F38" s="87">
        <f>9*(1.5^$Q$50)</f>
        <v>9</v>
      </c>
      <c r="G38" s="86">
        <f t="shared" si="3"/>
        <v>1112</v>
      </c>
      <c r="H38" s="85">
        <v>35</v>
      </c>
      <c r="I38" s="86">
        <f>0.2*(1.5^$Q$50)</f>
        <v>0.2</v>
      </c>
      <c r="J38" s="86">
        <f t="shared" si="4"/>
        <v>49</v>
      </c>
      <c r="K38" s="85">
        <v>970</v>
      </c>
      <c r="L38" s="86">
        <f>30*(1.5^$Q$50)</f>
        <v>30</v>
      </c>
      <c r="M38" s="86">
        <f t="shared" si="5"/>
        <v>3070</v>
      </c>
      <c r="N38" s="8" t="s">
        <v>125</v>
      </c>
      <c r="O38" s="8" t="s">
        <v>126</v>
      </c>
    </row>
    <row r="39" customFormat="1" spans="1:18">
      <c r="A39" s="19" t="s">
        <v>127</v>
      </c>
      <c r="B39" s="23" t="s">
        <v>26</v>
      </c>
      <c r="C39" s="10" t="s">
        <v>120</v>
      </c>
      <c r="D39" s="84">
        <v>70</v>
      </c>
      <c r="E39" s="85">
        <v>400</v>
      </c>
      <c r="F39" s="86">
        <f>8.2*(1.5^$Q$50)</f>
        <v>8.2</v>
      </c>
      <c r="G39" s="86">
        <f t="shared" si="3"/>
        <v>974</v>
      </c>
      <c r="H39" s="85">
        <v>15</v>
      </c>
      <c r="I39" s="86">
        <f>0.1*(1.5^$Q$50)</f>
        <v>0.1</v>
      </c>
      <c r="J39" s="86">
        <f t="shared" si="4"/>
        <v>22</v>
      </c>
      <c r="K39" s="85">
        <v>860</v>
      </c>
      <c r="L39" s="88">
        <f>33*(1.5^$Q$50)</f>
        <v>33</v>
      </c>
      <c r="M39" s="86">
        <f t="shared" si="5"/>
        <v>3170</v>
      </c>
      <c r="N39" s="8" t="s">
        <v>128</v>
      </c>
      <c r="O39" s="8" t="s">
        <v>129</v>
      </c>
    </row>
    <row r="40" customFormat="1" spans="1:18">
      <c r="A40" s="19" t="s">
        <v>130</v>
      </c>
      <c r="B40" s="28" t="s">
        <v>30</v>
      </c>
      <c r="C40" s="10" t="s">
        <v>120</v>
      </c>
      <c r="D40" s="84">
        <v>70</v>
      </c>
      <c r="E40" s="85">
        <v>25</v>
      </c>
      <c r="F40" s="86">
        <f>1*(1.5^$Q$50)</f>
        <v>1</v>
      </c>
      <c r="G40" s="86">
        <f t="shared" si="3"/>
        <v>95</v>
      </c>
      <c r="H40" s="85">
        <v>710</v>
      </c>
      <c r="I40" s="89">
        <f>12*(1.5^$Q$50)</f>
        <v>12</v>
      </c>
      <c r="J40" s="86">
        <f t="shared" si="4"/>
        <v>1550</v>
      </c>
      <c r="K40" s="85">
        <v>540</v>
      </c>
      <c r="L40" s="86">
        <f>15*(1.5^$Q$50)</f>
        <v>15</v>
      </c>
      <c r="M40" s="86">
        <f t="shared" si="5"/>
        <v>1590</v>
      </c>
      <c r="N40" s="8" t="s">
        <v>131</v>
      </c>
      <c r="O40" s="8" t="s">
        <v>132</v>
      </c>
    </row>
    <row r="41" customFormat="1" spans="1:18">
      <c r="A41" s="19" t="s">
        <v>133</v>
      </c>
      <c r="B41" s="20" t="s">
        <v>21</v>
      </c>
      <c r="C41" s="10"/>
      <c r="D41" s="84"/>
      <c r="E41" s="85"/>
      <c r="F41" s="86"/>
      <c r="G41" s="86"/>
      <c r="H41" s="85"/>
      <c r="I41" s="86"/>
      <c r="J41" s="86"/>
      <c r="K41" s="85"/>
      <c r="L41" s="86"/>
      <c r="M41" s="86"/>
      <c r="N41" s="8" t="s">
        <v>134</v>
      </c>
      <c r="O41" s="8" t="s">
        <v>135</v>
      </c>
    </row>
    <row r="42" customFormat="1" spans="1:18">
      <c r="A42" s="19" t="s">
        <v>136</v>
      </c>
      <c r="B42" s="28" t="s">
        <v>30</v>
      </c>
      <c r="C42" s="10" t="s">
        <v>82</v>
      </c>
      <c r="D42" s="84">
        <v>70</v>
      </c>
      <c r="E42" s="85">
        <v>90</v>
      </c>
      <c r="F42" s="86">
        <f>3.2*(1.5^$Q$50)</f>
        <v>3.2</v>
      </c>
      <c r="G42" s="86">
        <f t="shared" ref="G42:G69" si="6">E42+D42*F42</f>
        <v>314</v>
      </c>
      <c r="H42" s="85">
        <v>820</v>
      </c>
      <c r="I42" s="86">
        <f>7.5*(1.5^$Q$50)</f>
        <v>7.5</v>
      </c>
      <c r="J42" s="86">
        <f t="shared" ref="J42:J69" si="7">H42+I42*D42</f>
        <v>1345</v>
      </c>
      <c r="K42" s="85">
        <v>550</v>
      </c>
      <c r="L42" s="86">
        <f>22*(1.5^$Q$50)</f>
        <v>22</v>
      </c>
      <c r="M42" s="86">
        <f t="shared" ref="M42:M69" si="8">K42+L42*D42</f>
        <v>2090</v>
      </c>
      <c r="N42" s="8" t="s">
        <v>137</v>
      </c>
      <c r="O42" s="8" t="s">
        <v>138</v>
      </c>
    </row>
    <row r="43" customFormat="1" spans="1:18">
      <c r="A43" s="19" t="s">
        <v>139</v>
      </c>
      <c r="B43" s="20" t="s">
        <v>21</v>
      </c>
      <c r="C43" s="7" t="s">
        <v>140</v>
      </c>
      <c r="D43" s="84">
        <v>70</v>
      </c>
      <c r="E43" s="85">
        <v>506</v>
      </c>
      <c r="F43" s="86">
        <f>7.7*(1.5^$Q$50)</f>
        <v>7.7</v>
      </c>
      <c r="G43" s="86">
        <f t="shared" si="6"/>
        <v>1045</v>
      </c>
      <c r="H43" s="85">
        <v>23</v>
      </c>
      <c r="I43" s="86">
        <f>0.7*(1.5^$Q$50)</f>
        <v>0.7</v>
      </c>
      <c r="J43" s="86">
        <f t="shared" si="7"/>
        <v>72</v>
      </c>
      <c r="K43" s="85">
        <v>890</v>
      </c>
      <c r="L43" s="90">
        <f>34.1*(1.5^$Q$50)</f>
        <v>34.1</v>
      </c>
      <c r="M43" s="86">
        <f t="shared" si="8"/>
        <v>3277</v>
      </c>
      <c r="N43" s="8" t="s">
        <v>141</v>
      </c>
      <c r="O43" s="8" t="s">
        <v>142</v>
      </c>
    </row>
    <row r="44" customFormat="1" spans="1:18">
      <c r="A44" s="19" t="s">
        <v>143</v>
      </c>
      <c r="B44" s="28" t="s">
        <v>30</v>
      </c>
      <c r="C44" s="10" t="s">
        <v>140</v>
      </c>
      <c r="D44" s="84">
        <v>70</v>
      </c>
      <c r="E44" s="85">
        <v>82</v>
      </c>
      <c r="F44" s="86">
        <f>1.4*(1.5^$Q$50)</f>
        <v>1.4</v>
      </c>
      <c r="G44" s="86">
        <f t="shared" si="6"/>
        <v>180</v>
      </c>
      <c r="H44" s="85">
        <v>793</v>
      </c>
      <c r="I44" s="91">
        <f>12.4*(1.5^$Q$50)</f>
        <v>12.4</v>
      </c>
      <c r="J44" s="86">
        <f t="shared" si="7"/>
        <v>1661</v>
      </c>
      <c r="K44" s="85">
        <v>545</v>
      </c>
      <c r="L44" s="86">
        <f>22*(1.5^$Q$50)</f>
        <v>22</v>
      </c>
      <c r="M44" s="86">
        <f t="shared" si="8"/>
        <v>2085</v>
      </c>
      <c r="N44" s="8" t="s">
        <v>144</v>
      </c>
      <c r="O44" s="8" t="s">
        <v>145</v>
      </c>
    </row>
    <row r="45" customFormat="1" spans="1:18">
      <c r="A45" s="19" t="s">
        <v>146</v>
      </c>
      <c r="B45" s="24" t="s">
        <v>16</v>
      </c>
      <c r="C45" s="10" t="s">
        <v>82</v>
      </c>
      <c r="D45" s="84">
        <v>70</v>
      </c>
      <c r="E45" s="85">
        <v>85</v>
      </c>
      <c r="F45" s="86">
        <f>0.5*(1.5^$Q$50)</f>
        <v>0.5</v>
      </c>
      <c r="G45" s="86">
        <f t="shared" si="6"/>
        <v>120</v>
      </c>
      <c r="H45" s="85">
        <v>800</v>
      </c>
      <c r="I45" s="91">
        <f>13.5*(1.5^$Q$50)</f>
        <v>13.5</v>
      </c>
      <c r="J45" s="86">
        <f t="shared" si="7"/>
        <v>1745</v>
      </c>
      <c r="K45" s="85">
        <v>550</v>
      </c>
      <c r="L45" s="86">
        <f>15*(1.5^$Q$50)</f>
        <v>15</v>
      </c>
      <c r="M45" s="86">
        <f t="shared" si="8"/>
        <v>1600</v>
      </c>
      <c r="N45" s="8" t="s">
        <v>47</v>
      </c>
      <c r="O45" s="8" t="s">
        <v>147</v>
      </c>
    </row>
    <row r="46" s="83" customFormat="1" spans="1:18">
      <c r="A46" s="19" t="s">
        <v>148</v>
      </c>
      <c r="B46" s="20" t="s">
        <v>21</v>
      </c>
      <c r="C46" s="10" t="s">
        <v>149</v>
      </c>
      <c r="D46" s="84">
        <v>70</v>
      </c>
      <c r="E46" s="85">
        <v>600</v>
      </c>
      <c r="F46" s="90">
        <f>9.5*(1.5^$Q$50)</f>
        <v>9.5</v>
      </c>
      <c r="G46" s="86">
        <f t="shared" si="6"/>
        <v>1265</v>
      </c>
      <c r="H46" s="85">
        <v>225</v>
      </c>
      <c r="I46" s="86">
        <f>1.5*(1.5^$Q$50)</f>
        <v>1.5</v>
      </c>
      <c r="J46" s="86">
        <f t="shared" si="7"/>
        <v>330</v>
      </c>
      <c r="K46" s="85">
        <v>450</v>
      </c>
      <c r="L46" s="86">
        <f>21*(1.5^$Q$50)</f>
        <v>21</v>
      </c>
      <c r="M46" s="86">
        <f t="shared" si="8"/>
        <v>1920</v>
      </c>
      <c r="N46" s="8" t="s">
        <v>150</v>
      </c>
      <c r="O46" s="8" t="s">
        <v>151</v>
      </c>
      <c r="P46"/>
      <c r="Q46"/>
      <c r="R46"/>
    </row>
    <row r="47" spans="1:18">
      <c r="A47" s="19" t="s">
        <v>152</v>
      </c>
      <c r="B47" s="23" t="s">
        <v>26</v>
      </c>
      <c r="C47" s="10" t="s">
        <v>140</v>
      </c>
      <c r="D47" s="84">
        <v>70</v>
      </c>
      <c r="E47" s="85">
        <v>465</v>
      </c>
      <c r="F47" s="91">
        <f>10*(1.5^$Q$50)</f>
        <v>10</v>
      </c>
      <c r="G47" s="86">
        <f t="shared" si="6"/>
        <v>1165</v>
      </c>
      <c r="H47" s="85">
        <v>15</v>
      </c>
      <c r="I47" s="86">
        <f>0.3*(1.5^$Q$50)</f>
        <v>0.3</v>
      </c>
      <c r="J47" s="86">
        <f t="shared" si="7"/>
        <v>36</v>
      </c>
      <c r="K47" s="85">
        <v>795</v>
      </c>
      <c r="L47" s="86">
        <f>23*(1.5^$Q$50)</f>
        <v>23</v>
      </c>
      <c r="M47" s="86">
        <f t="shared" si="8"/>
        <v>2405</v>
      </c>
      <c r="N47" s="8" t="s">
        <v>153</v>
      </c>
      <c r="O47" s="8" t="s">
        <v>154</v>
      </c>
    </row>
    <row r="48" spans="1:18">
      <c r="A48" s="19" t="s">
        <v>155</v>
      </c>
      <c r="B48" s="23" t="s">
        <v>26</v>
      </c>
      <c r="C48" s="10" t="s">
        <v>120</v>
      </c>
      <c r="D48" s="84">
        <v>70</v>
      </c>
      <c r="E48" s="85">
        <v>390</v>
      </c>
      <c r="F48" s="86">
        <f>8*(1.5^$Q$50)</f>
        <v>8</v>
      </c>
      <c r="G48" s="86">
        <f t="shared" si="6"/>
        <v>950</v>
      </c>
      <c r="H48" s="85">
        <v>15</v>
      </c>
      <c r="I48" s="86">
        <f>0.3*(1.5^$Q$50)</f>
        <v>0.3</v>
      </c>
      <c r="J48" s="86">
        <f t="shared" si="7"/>
        <v>36</v>
      </c>
      <c r="K48" s="85">
        <v>870</v>
      </c>
      <c r="L48" s="86">
        <f>29*(1.5^$Q$50)</f>
        <v>29</v>
      </c>
      <c r="M48" s="86">
        <f t="shared" si="8"/>
        <v>2900</v>
      </c>
      <c r="N48" s="8" t="s">
        <v>156</v>
      </c>
      <c r="O48" s="8" t="s">
        <v>126</v>
      </c>
    </row>
    <row r="49" spans="1:15">
      <c r="A49" s="19" t="s">
        <v>157</v>
      </c>
      <c r="B49" s="23" t="s">
        <v>26</v>
      </c>
      <c r="C49" s="10" t="s">
        <v>149</v>
      </c>
      <c r="D49" s="84">
        <v>70</v>
      </c>
      <c r="E49" s="85">
        <v>360</v>
      </c>
      <c r="F49" s="86">
        <f>6.5*(1.5^$Q$50)</f>
        <v>6.5</v>
      </c>
      <c r="G49" s="86">
        <f t="shared" si="6"/>
        <v>815</v>
      </c>
      <c r="H49" s="85">
        <v>30</v>
      </c>
      <c r="I49" s="86">
        <f>0.2*(1.5^$Q$50)</f>
        <v>0.2</v>
      </c>
      <c r="J49" s="86">
        <f t="shared" si="7"/>
        <v>44</v>
      </c>
      <c r="K49" s="85">
        <v>885</v>
      </c>
      <c r="L49" s="90">
        <f>34*(1.5^$Q$50)</f>
        <v>34</v>
      </c>
      <c r="M49" s="86">
        <f t="shared" si="8"/>
        <v>3265</v>
      </c>
      <c r="N49" s="8" t="s">
        <v>158</v>
      </c>
      <c r="O49" s="8" t="s">
        <v>159</v>
      </c>
    </row>
    <row r="50" spans="1:15">
      <c r="A50" s="19" t="s">
        <v>160</v>
      </c>
      <c r="B50" s="20" t="s">
        <v>21</v>
      </c>
      <c r="C50" s="10" t="s">
        <v>149</v>
      </c>
      <c r="D50" s="84">
        <v>70</v>
      </c>
      <c r="E50" s="85">
        <v>540</v>
      </c>
      <c r="F50" s="90">
        <f>9.5*(1.5^$Q$50)</f>
        <v>9.5</v>
      </c>
      <c r="G50" s="86">
        <f t="shared" si="6"/>
        <v>1205</v>
      </c>
      <c r="H50" s="85">
        <v>195</v>
      </c>
      <c r="I50" s="86">
        <f>1.2*(1.5^$Q$50)</f>
        <v>1.2</v>
      </c>
      <c r="J50" s="86">
        <f t="shared" si="7"/>
        <v>279</v>
      </c>
      <c r="K50" s="85">
        <v>540</v>
      </c>
      <c r="L50" s="86">
        <f>22*(1.5^$Q$50)</f>
        <v>22</v>
      </c>
      <c r="M50" s="86">
        <f t="shared" si="8"/>
        <v>2080</v>
      </c>
      <c r="N50" s="8" t="s">
        <v>150</v>
      </c>
      <c r="O50" s="8" t="s">
        <v>161</v>
      </c>
    </row>
    <row r="51" spans="1:15">
      <c r="A51" s="19" t="s">
        <v>162</v>
      </c>
      <c r="B51" s="20" t="s">
        <v>21</v>
      </c>
      <c r="C51" s="10" t="s">
        <v>149</v>
      </c>
      <c r="D51" s="84">
        <v>70</v>
      </c>
      <c r="E51" s="85">
        <v>585</v>
      </c>
      <c r="F51" s="91">
        <f>9.9*(1.5^$Q$50)</f>
        <v>9.9</v>
      </c>
      <c r="G51" s="86">
        <f t="shared" si="6"/>
        <v>1278</v>
      </c>
      <c r="H51" s="85">
        <v>120</v>
      </c>
      <c r="I51" s="86">
        <f>0.8*(1.5^$Q$50)</f>
        <v>0.8</v>
      </c>
      <c r="J51" s="86">
        <f t="shared" si="7"/>
        <v>176</v>
      </c>
      <c r="K51" s="85">
        <v>570</v>
      </c>
      <c r="L51" s="86">
        <f>22*(1.5^$Q$50)</f>
        <v>22</v>
      </c>
      <c r="M51" s="86">
        <f t="shared" si="8"/>
        <v>2110</v>
      </c>
      <c r="N51" s="8" t="s">
        <v>150</v>
      </c>
      <c r="O51" s="8" t="s">
        <v>163</v>
      </c>
    </row>
    <row r="52" spans="1:15">
      <c r="A52" s="34" t="s">
        <v>164</v>
      </c>
      <c r="B52" s="20" t="s">
        <v>21</v>
      </c>
      <c r="C52" s="10" t="s">
        <v>82</v>
      </c>
      <c r="D52" s="84">
        <v>70</v>
      </c>
      <c r="E52" s="85">
        <v>296</v>
      </c>
      <c r="F52" s="86">
        <f>9.4*(1.5^$Q$50)</f>
        <v>9.4</v>
      </c>
      <c r="G52" s="86">
        <f t="shared" si="6"/>
        <v>954</v>
      </c>
      <c r="H52" s="85">
        <v>40</v>
      </c>
      <c r="I52" s="86">
        <f>0.9*(1.5^$Q$50)</f>
        <v>0.9</v>
      </c>
      <c r="J52" s="86">
        <f t="shared" si="7"/>
        <v>103</v>
      </c>
      <c r="K52" s="85">
        <v>344</v>
      </c>
      <c r="L52" s="86">
        <f>23*(1.5^$Q$50)</f>
        <v>23</v>
      </c>
      <c r="M52" s="86">
        <f t="shared" si="8"/>
        <v>1954</v>
      </c>
      <c r="N52" s="8" t="s">
        <v>165</v>
      </c>
      <c r="O52" s="8" t="s">
        <v>166</v>
      </c>
    </row>
    <row r="53" spans="1:15">
      <c r="A53" s="19" t="s">
        <v>167</v>
      </c>
      <c r="B53" s="24" t="s">
        <v>16</v>
      </c>
      <c r="C53" s="10" t="s">
        <v>149</v>
      </c>
      <c r="D53" s="84">
        <v>70</v>
      </c>
      <c r="E53" s="85">
        <v>405</v>
      </c>
      <c r="F53" s="86">
        <f>5.5*(1.5^$Q$50)</f>
        <v>5.5</v>
      </c>
      <c r="G53" s="86">
        <f t="shared" si="6"/>
        <v>790</v>
      </c>
      <c r="H53" s="85">
        <v>390</v>
      </c>
      <c r="I53" s="86">
        <f>5.5*(1.5^$Q$50)</f>
        <v>5.5</v>
      </c>
      <c r="J53" s="86">
        <f t="shared" si="7"/>
        <v>775</v>
      </c>
      <c r="K53" s="85">
        <v>480</v>
      </c>
      <c r="L53" s="88">
        <f>21*(1.5^$Q$50)</f>
        <v>21</v>
      </c>
      <c r="M53" s="86">
        <f t="shared" si="8"/>
        <v>1950</v>
      </c>
      <c r="N53" s="8" t="s">
        <v>168</v>
      </c>
      <c r="O53" s="8" t="s">
        <v>169</v>
      </c>
    </row>
    <row r="54" spans="1:15">
      <c r="A54" s="19" t="s">
        <v>170</v>
      </c>
      <c r="B54" s="28" t="s">
        <v>30</v>
      </c>
      <c r="C54" s="10" t="s">
        <v>82</v>
      </c>
      <c r="D54" s="84">
        <v>70</v>
      </c>
      <c r="E54" s="85">
        <v>90</v>
      </c>
      <c r="F54" s="86">
        <f>3.2*(1.5^$Q$50)</f>
        <v>3.2</v>
      </c>
      <c r="G54" s="86">
        <f t="shared" si="6"/>
        <v>314</v>
      </c>
      <c r="H54" s="85">
        <v>820</v>
      </c>
      <c r="I54" s="86">
        <f>7.5*(1.5^$Q$50)</f>
        <v>7.5</v>
      </c>
      <c r="J54" s="86">
        <f t="shared" si="7"/>
        <v>1345</v>
      </c>
      <c r="K54" s="85">
        <v>550</v>
      </c>
      <c r="L54" s="86">
        <f>22*(1.5^$Q$50)</f>
        <v>22</v>
      </c>
      <c r="M54" s="86">
        <f t="shared" si="8"/>
        <v>2090</v>
      </c>
      <c r="N54" s="8" t="s">
        <v>171</v>
      </c>
      <c r="O54" s="8" t="s">
        <v>172</v>
      </c>
    </row>
    <row r="55" spans="1:15">
      <c r="A55" s="34" t="s">
        <v>173</v>
      </c>
      <c r="B55" s="24" t="s">
        <v>16</v>
      </c>
      <c r="C55" s="10" t="s">
        <v>82</v>
      </c>
      <c r="D55" s="84">
        <v>70</v>
      </c>
      <c r="E55" s="85">
        <v>176</v>
      </c>
      <c r="F55" s="86">
        <f>5.7*(1.5^$Q$50)</f>
        <v>5.7</v>
      </c>
      <c r="G55" s="86">
        <f t="shared" si="6"/>
        <v>575</v>
      </c>
      <c r="H55" s="85">
        <v>288</v>
      </c>
      <c r="I55" s="86">
        <f>5.6*(1.5^$Q$50)</f>
        <v>5.6</v>
      </c>
      <c r="J55" s="86">
        <f t="shared" si="7"/>
        <v>680</v>
      </c>
      <c r="K55" s="85">
        <v>16</v>
      </c>
      <c r="L55" s="86">
        <f>20*(1.5^$Q$50)</f>
        <v>20</v>
      </c>
      <c r="M55" s="86">
        <f t="shared" si="8"/>
        <v>1416</v>
      </c>
      <c r="N55" s="8" t="s">
        <v>174</v>
      </c>
      <c r="O55" s="8" t="s">
        <v>175</v>
      </c>
    </row>
    <row r="56" spans="1:15">
      <c r="A56" s="34" t="s">
        <v>176</v>
      </c>
      <c r="B56" s="20" t="s">
        <v>21</v>
      </c>
      <c r="C56" s="10" t="s">
        <v>82</v>
      </c>
      <c r="D56" s="84">
        <v>70</v>
      </c>
      <c r="E56" s="85">
        <v>301</v>
      </c>
      <c r="F56" s="86">
        <f>7.5*(1.5^$Q$50)</f>
        <v>7.5</v>
      </c>
      <c r="G56" s="86">
        <f t="shared" si="6"/>
        <v>826</v>
      </c>
      <c r="H56" s="85">
        <v>25</v>
      </c>
      <c r="I56" s="86">
        <f>0.2*(1.5^$Q$50)</f>
        <v>0.2</v>
      </c>
      <c r="J56" s="86">
        <f t="shared" si="7"/>
        <v>39</v>
      </c>
      <c r="K56" s="85">
        <v>354</v>
      </c>
      <c r="L56" s="86">
        <f>30*(1.5^$Q$50)</f>
        <v>30</v>
      </c>
      <c r="M56" s="86">
        <f t="shared" si="8"/>
        <v>2454</v>
      </c>
      <c r="N56" s="8" t="s">
        <v>166</v>
      </c>
      <c r="O56" s="8" t="s">
        <v>177</v>
      </c>
    </row>
    <row r="57" spans="1:15">
      <c r="A57" s="19" t="s">
        <v>178</v>
      </c>
      <c r="B57" s="28" t="s">
        <v>30</v>
      </c>
      <c r="C57" s="10" t="s">
        <v>140</v>
      </c>
      <c r="D57" s="84">
        <v>70</v>
      </c>
      <c r="E57" s="85">
        <v>105</v>
      </c>
      <c r="F57" s="86">
        <f>1*(1.5^$Q$50)</f>
        <v>1</v>
      </c>
      <c r="G57" s="86">
        <f t="shared" si="6"/>
        <v>175</v>
      </c>
      <c r="H57" s="85">
        <v>735</v>
      </c>
      <c r="I57" s="86">
        <f>11*(1.5^$Q$50)</f>
        <v>11</v>
      </c>
      <c r="J57" s="86">
        <f t="shared" si="7"/>
        <v>1505</v>
      </c>
      <c r="K57" s="85">
        <v>435</v>
      </c>
      <c r="L57" s="86">
        <f>18*(1.5^$Q$50)</f>
        <v>18</v>
      </c>
      <c r="M57" s="86">
        <f t="shared" si="8"/>
        <v>1695</v>
      </c>
      <c r="N57" s="8" t="s">
        <v>179</v>
      </c>
      <c r="O57" s="8" t="s">
        <v>90</v>
      </c>
    </row>
    <row r="58" spans="1:15">
      <c r="A58" s="19" t="s">
        <v>180</v>
      </c>
      <c r="B58" s="23" t="s">
        <v>26</v>
      </c>
      <c r="C58" s="10" t="s">
        <v>140</v>
      </c>
      <c r="D58" s="84">
        <v>70</v>
      </c>
      <c r="E58" s="85">
        <v>330</v>
      </c>
      <c r="F58" s="86">
        <f>6*(1.5^$Q$50)</f>
        <v>6</v>
      </c>
      <c r="G58" s="86">
        <f t="shared" si="6"/>
        <v>750</v>
      </c>
      <c r="H58" s="85">
        <v>105</v>
      </c>
      <c r="I58" s="86">
        <f>1.7*(1.5^$Q$50)</f>
        <v>1.7</v>
      </c>
      <c r="J58" s="86">
        <f t="shared" si="7"/>
        <v>224</v>
      </c>
      <c r="K58" s="85">
        <v>825</v>
      </c>
      <c r="L58" s="86">
        <f>31*(1.5^$Q$50)</f>
        <v>31</v>
      </c>
      <c r="M58" s="86">
        <f t="shared" si="8"/>
        <v>2995</v>
      </c>
      <c r="N58" s="8" t="s">
        <v>181</v>
      </c>
      <c r="O58" s="8" t="s">
        <v>182</v>
      </c>
    </row>
    <row r="59" spans="1:15">
      <c r="A59" s="34" t="s">
        <v>183</v>
      </c>
      <c r="B59" s="28" t="s">
        <v>30</v>
      </c>
      <c r="C59" s="10" t="s">
        <v>82</v>
      </c>
      <c r="D59" s="84">
        <v>70</v>
      </c>
      <c r="E59" s="85">
        <v>128</v>
      </c>
      <c r="F59" s="86">
        <f>5*(1.5^$Q$50)</f>
        <v>5</v>
      </c>
      <c r="G59" s="86">
        <f t="shared" si="6"/>
        <v>478</v>
      </c>
      <c r="H59" s="85">
        <v>264</v>
      </c>
      <c r="I59" s="86">
        <f>8.7*(1.5^$Q$50)</f>
        <v>8.7</v>
      </c>
      <c r="J59" s="86">
        <f t="shared" si="7"/>
        <v>873</v>
      </c>
      <c r="K59" s="85">
        <v>288</v>
      </c>
      <c r="L59" s="86">
        <f>13*(1.5^$Q$50)</f>
        <v>13</v>
      </c>
      <c r="M59" s="86">
        <f t="shared" si="8"/>
        <v>1198</v>
      </c>
      <c r="N59" s="8" t="s">
        <v>184</v>
      </c>
      <c r="O59" s="8" t="s">
        <v>185</v>
      </c>
    </row>
    <row r="60" spans="1:15">
      <c r="A60" s="19" t="s">
        <v>186</v>
      </c>
      <c r="B60" s="23" t="s">
        <v>26</v>
      </c>
      <c r="C60" s="10" t="s">
        <v>140</v>
      </c>
      <c r="D60" s="84">
        <v>70</v>
      </c>
      <c r="E60" s="85">
        <v>405</v>
      </c>
      <c r="F60" s="92">
        <f>8.8*(1.5^$Q$50)</f>
        <v>8.8</v>
      </c>
      <c r="G60" s="86">
        <f t="shared" si="6"/>
        <v>1021</v>
      </c>
      <c r="H60" s="85">
        <v>15</v>
      </c>
      <c r="I60" s="86">
        <f>0.3*(1.5^$Q$50)</f>
        <v>0.3</v>
      </c>
      <c r="J60" s="86">
        <f t="shared" si="7"/>
        <v>36</v>
      </c>
      <c r="K60" s="85">
        <v>855</v>
      </c>
      <c r="L60" s="86">
        <f>32*(1.5^$Q$50)</f>
        <v>32</v>
      </c>
      <c r="M60" s="86">
        <f t="shared" si="8"/>
        <v>3095</v>
      </c>
      <c r="N60" s="8" t="s">
        <v>125</v>
      </c>
      <c r="O60" s="8" t="s">
        <v>142</v>
      </c>
    </row>
    <row r="61" spans="1:15">
      <c r="A61" s="26" t="s">
        <v>187</v>
      </c>
      <c r="B61" s="28" t="s">
        <v>30</v>
      </c>
      <c r="C61" s="10" t="s">
        <v>188</v>
      </c>
      <c r="D61" s="84">
        <v>70</v>
      </c>
      <c r="E61" s="85">
        <v>75</v>
      </c>
      <c r="F61" s="86">
        <f>3*(1.5^$Q$50)</f>
        <v>3</v>
      </c>
      <c r="G61" s="86">
        <f t="shared" si="6"/>
        <v>285</v>
      </c>
      <c r="H61" s="85">
        <v>1250</v>
      </c>
      <c r="I61" s="86">
        <f>145*(1.5^$Q$50)</f>
        <v>145</v>
      </c>
      <c r="J61" s="86">
        <f t="shared" si="7"/>
        <v>11400</v>
      </c>
      <c r="K61" s="85">
        <v>1025</v>
      </c>
      <c r="L61" s="86">
        <f>189*(1.5^$Q$50)</f>
        <v>189</v>
      </c>
      <c r="M61" s="86">
        <f t="shared" si="8"/>
        <v>14255</v>
      </c>
      <c r="N61" s="8" t="s">
        <v>189</v>
      </c>
      <c r="O61" s="8" t="s">
        <v>190</v>
      </c>
    </row>
    <row r="62" spans="1:15">
      <c r="A62" s="19" t="s">
        <v>191</v>
      </c>
      <c r="B62" s="20" t="s">
        <v>21</v>
      </c>
      <c r="C62" s="10"/>
      <c r="N62" s="8" t="s">
        <v>90</v>
      </c>
      <c r="O62" s="8" t="s">
        <v>141</v>
      </c>
    </row>
    <row r="63" spans="1:15">
      <c r="A63" s="19" t="s">
        <v>192</v>
      </c>
      <c r="B63" s="23" t="s">
        <v>26</v>
      </c>
      <c r="C63" s="10"/>
      <c r="N63" s="8" t="s">
        <v>44</v>
      </c>
      <c r="O63" s="8" t="s">
        <v>193</v>
      </c>
    </row>
    <row r="64" spans="1:15">
      <c r="A64" s="33" t="s">
        <v>194</v>
      </c>
      <c r="B64" s="23" t="s">
        <v>26</v>
      </c>
      <c r="C64" s="10" t="s">
        <v>82</v>
      </c>
      <c r="D64" s="84">
        <v>70</v>
      </c>
      <c r="E64" s="85">
        <v>110</v>
      </c>
      <c r="F64" s="86">
        <f>6.5*(1.5^$Q$50)</f>
        <v>6.5</v>
      </c>
      <c r="G64" s="86">
        <f t="shared" ref="G64:G71" si="9">E64+D64*F64</f>
        <v>565</v>
      </c>
      <c r="H64" s="85">
        <v>40</v>
      </c>
      <c r="I64" s="86">
        <f>2.2*(1.5^$Q$50)</f>
        <v>2.2</v>
      </c>
      <c r="J64" s="86">
        <f t="shared" ref="J64:J71" si="10">H64+I64*D64</f>
        <v>194</v>
      </c>
      <c r="K64" s="85">
        <v>275</v>
      </c>
      <c r="L64" s="86">
        <f>28*(1.5^$Q$50)</f>
        <v>28</v>
      </c>
      <c r="M64" s="86">
        <f t="shared" ref="M64:M71" si="11">K64+L64*D64</f>
        <v>2235</v>
      </c>
      <c r="N64" s="8" t="s">
        <v>195</v>
      </c>
      <c r="O64" s="8" t="s">
        <v>196</v>
      </c>
    </row>
    <row r="65" spans="1:15">
      <c r="A65" s="33" t="s">
        <v>197</v>
      </c>
      <c r="B65" s="24" t="s">
        <v>16</v>
      </c>
      <c r="C65" s="10" t="s">
        <v>82</v>
      </c>
      <c r="D65" s="84">
        <v>70</v>
      </c>
      <c r="E65" s="85">
        <v>140</v>
      </c>
      <c r="F65" s="86">
        <f>3.3*(1.5^$Q$50)</f>
        <v>3.3</v>
      </c>
      <c r="G65" s="86">
        <f t="shared" si="9"/>
        <v>371</v>
      </c>
      <c r="H65" s="85">
        <v>135</v>
      </c>
      <c r="I65" s="86">
        <f>6.7*(1.5^$Q$50)</f>
        <v>6.7</v>
      </c>
      <c r="J65" s="86">
        <f t="shared" si="10"/>
        <v>604</v>
      </c>
      <c r="K65" s="85">
        <v>150</v>
      </c>
      <c r="L65" s="86">
        <f>11*(1.5^$Q$50)</f>
        <v>11</v>
      </c>
      <c r="M65" s="86">
        <f t="shared" si="11"/>
        <v>920</v>
      </c>
      <c r="N65" s="8" t="s">
        <v>198</v>
      </c>
      <c r="O65" s="8" t="s">
        <v>199</v>
      </c>
    </row>
    <row r="66" spans="1:15">
      <c r="A66" s="19" t="s">
        <v>200</v>
      </c>
      <c r="B66" s="24" t="s">
        <v>16</v>
      </c>
      <c r="C66" s="10" t="s">
        <v>120</v>
      </c>
      <c r="D66" s="84">
        <v>70</v>
      </c>
      <c r="E66" s="85">
        <v>135</v>
      </c>
      <c r="F66" s="86">
        <f>4.8*(1.5^$Q$50)</f>
        <v>4.8</v>
      </c>
      <c r="G66" s="86">
        <f t="shared" si="9"/>
        <v>471</v>
      </c>
      <c r="H66" s="85">
        <v>720</v>
      </c>
      <c r="I66" s="86">
        <f>9.2*(1.5^$Q$50)</f>
        <v>9.2</v>
      </c>
      <c r="J66" s="86">
        <f t="shared" si="10"/>
        <v>1364</v>
      </c>
      <c r="K66" s="85">
        <v>420</v>
      </c>
      <c r="L66" s="86">
        <f>12*(1.5^$Q$50)</f>
        <v>12</v>
      </c>
      <c r="M66" s="86">
        <f t="shared" si="11"/>
        <v>1260</v>
      </c>
      <c r="N66" s="8" t="s">
        <v>168</v>
      </c>
      <c r="O66" s="8" t="s">
        <v>201</v>
      </c>
    </row>
    <row r="67" spans="1:15">
      <c r="A67" s="19" t="s">
        <v>202</v>
      </c>
      <c r="B67" s="23" t="s">
        <v>26</v>
      </c>
      <c r="C67" s="10" t="s">
        <v>149</v>
      </c>
      <c r="D67" s="84">
        <v>70</v>
      </c>
      <c r="E67" s="85">
        <v>495</v>
      </c>
      <c r="F67" s="86">
        <f>8.2*(1.5^$Q$50)</f>
        <v>8.2</v>
      </c>
      <c r="G67" s="86">
        <f t="shared" si="9"/>
        <v>1069</v>
      </c>
      <c r="H67" s="85">
        <v>30</v>
      </c>
      <c r="I67" s="86">
        <f>0.1*(1.5^$Q$50)</f>
        <v>0.1</v>
      </c>
      <c r="J67" s="86">
        <f t="shared" si="10"/>
        <v>37</v>
      </c>
      <c r="K67" s="85">
        <v>750</v>
      </c>
      <c r="L67" s="86">
        <f>29*(1.5^$Q$50)</f>
        <v>29</v>
      </c>
      <c r="M67" s="86">
        <f t="shared" si="11"/>
        <v>2780</v>
      </c>
      <c r="N67" s="8" t="s">
        <v>151</v>
      </c>
      <c r="O67" s="8" t="s">
        <v>161</v>
      </c>
    </row>
    <row r="68" spans="1:15">
      <c r="A68" s="19" t="s">
        <v>203</v>
      </c>
      <c r="B68" s="28" t="s">
        <v>30</v>
      </c>
      <c r="C68" s="10" t="s">
        <v>149</v>
      </c>
      <c r="D68" s="84">
        <v>70</v>
      </c>
      <c r="E68" s="85">
        <v>255</v>
      </c>
      <c r="F68" s="86">
        <f>3*(1.5^$Q$50)</f>
        <v>3</v>
      </c>
      <c r="G68" s="86">
        <f t="shared" si="9"/>
        <v>465</v>
      </c>
      <c r="H68" s="85">
        <v>795</v>
      </c>
      <c r="I68" s="86">
        <f>9*(1.5^$Q$50)</f>
        <v>9</v>
      </c>
      <c r="J68" s="86">
        <f t="shared" si="10"/>
        <v>1425</v>
      </c>
      <c r="K68" s="85">
        <v>225</v>
      </c>
      <c r="L68" s="86">
        <f>18*(1.5^$Q$50)</f>
        <v>18</v>
      </c>
      <c r="M68" s="86">
        <f t="shared" si="11"/>
        <v>1485</v>
      </c>
      <c r="N68" s="8" t="s">
        <v>204</v>
      </c>
      <c r="O68" s="8" t="s">
        <v>174</v>
      </c>
    </row>
    <row r="69" spans="1:15">
      <c r="A69" s="26" t="s">
        <v>205</v>
      </c>
      <c r="B69" s="24" t="s">
        <v>16</v>
      </c>
      <c r="C69" s="10" t="s">
        <v>188</v>
      </c>
      <c r="D69" s="84">
        <v>70</v>
      </c>
      <c r="E69" s="85">
        <v>313</v>
      </c>
      <c r="F69" s="86">
        <f>18*(1.5^$Q$50)</f>
        <v>18</v>
      </c>
      <c r="G69" s="86">
        <f t="shared" si="9"/>
        <v>1573</v>
      </c>
      <c r="H69" s="85">
        <v>1213</v>
      </c>
      <c r="I69" s="86">
        <f>126*(1.5^$Q$50)</f>
        <v>126</v>
      </c>
      <c r="J69" s="86">
        <f t="shared" si="10"/>
        <v>10033</v>
      </c>
      <c r="K69" s="85">
        <v>1011</v>
      </c>
      <c r="L69" s="86">
        <f>186.8*(1.5^$Q$50)</f>
        <v>186.8</v>
      </c>
      <c r="M69" s="86">
        <f t="shared" si="11"/>
        <v>14087</v>
      </c>
      <c r="N69" s="8" t="s">
        <v>206</v>
      </c>
      <c r="O69" s="8" t="s">
        <v>80</v>
      </c>
    </row>
    <row r="70" spans="1:15">
      <c r="A70" s="19" t="s">
        <v>207</v>
      </c>
      <c r="B70" s="23" t="s">
        <v>26</v>
      </c>
      <c r="C70" s="10" t="s">
        <v>140</v>
      </c>
      <c r="D70" s="84">
        <v>70</v>
      </c>
      <c r="E70" s="85">
        <v>393</v>
      </c>
      <c r="F70" s="86">
        <f>8.2*(1.5^$Q$50)</f>
        <v>8.2</v>
      </c>
      <c r="G70" s="86">
        <f t="shared" si="9"/>
        <v>967</v>
      </c>
      <c r="H70" s="85">
        <v>6</v>
      </c>
      <c r="I70" s="86">
        <f>0.1*(1.5^$Q$50)</f>
        <v>0.1</v>
      </c>
      <c r="J70" s="86">
        <f t="shared" si="10"/>
        <v>13</v>
      </c>
      <c r="K70" s="85">
        <v>830</v>
      </c>
      <c r="L70" s="88">
        <f>33*(1.5^$Q$50)</f>
        <v>33</v>
      </c>
      <c r="M70" s="86">
        <f t="shared" si="11"/>
        <v>3140</v>
      </c>
      <c r="N70" s="8" t="s">
        <v>141</v>
      </c>
      <c r="O70" s="8" t="s">
        <v>125</v>
      </c>
    </row>
    <row r="71" spans="1:15">
      <c r="A71" s="19" t="s">
        <v>208</v>
      </c>
      <c r="B71" s="28" t="s">
        <v>30</v>
      </c>
      <c r="C71" s="10" t="s">
        <v>120</v>
      </c>
      <c r="D71" s="84">
        <v>70</v>
      </c>
      <c r="E71" s="85">
        <v>75</v>
      </c>
      <c r="F71" s="86">
        <f>1*(1.5^$Q$50)</f>
        <v>1</v>
      </c>
      <c r="G71" s="86">
        <f t="shared" si="9"/>
        <v>145</v>
      </c>
      <c r="H71" s="85">
        <v>825</v>
      </c>
      <c r="I71" s="86">
        <f>10*(1.5^$Q$50)</f>
        <v>10</v>
      </c>
      <c r="J71" s="86">
        <f t="shared" si="10"/>
        <v>1525</v>
      </c>
      <c r="K71" s="85">
        <v>375</v>
      </c>
      <c r="L71" s="86">
        <f>21*(1.5^$Q$50)</f>
        <v>21</v>
      </c>
      <c r="M71" s="86">
        <f t="shared" si="11"/>
        <v>1845</v>
      </c>
      <c r="N71" s="8" t="s">
        <v>209</v>
      </c>
      <c r="O71" s="8" t="s">
        <v>210</v>
      </c>
    </row>
    <row r="72" spans="1:15">
      <c r="A72" s="19" t="s">
        <v>211</v>
      </c>
      <c r="B72" s="20" t="s">
        <v>21</v>
      </c>
      <c r="C72" s="10" t="s">
        <v>82</v>
      </c>
      <c r="D72" s="84">
        <v>70</v>
      </c>
      <c r="E72" s="85">
        <v>506</v>
      </c>
      <c r="F72" s="86">
        <f>7.7*(1.5^$Q$50)</f>
        <v>7.7</v>
      </c>
      <c r="G72" s="86">
        <f t="shared" ref="G72:G135" si="12">E72+D72*F72</f>
        <v>1045</v>
      </c>
      <c r="H72" s="85">
        <v>23</v>
      </c>
      <c r="I72" s="86">
        <f>0.7*(1.5^$Q$50)</f>
        <v>0.7</v>
      </c>
      <c r="J72" s="86">
        <f t="shared" ref="J72:J135" si="13">H72+I72*D72</f>
        <v>72</v>
      </c>
      <c r="K72" s="85">
        <v>890</v>
      </c>
      <c r="L72" s="86">
        <f>30*(1.5^$Q$50)</f>
        <v>30</v>
      </c>
      <c r="M72" s="86">
        <f t="shared" ref="M72:M135" si="14">K72+L72*D72</f>
        <v>2990</v>
      </c>
      <c r="N72" s="8" t="s">
        <v>212</v>
      </c>
      <c r="O72" s="8" t="s">
        <v>142</v>
      </c>
    </row>
    <row r="73" spans="1:15">
      <c r="A73" s="22" t="s">
        <v>213</v>
      </c>
      <c r="B73" s="23" t="s">
        <v>26</v>
      </c>
      <c r="C73" s="10" t="s">
        <v>82</v>
      </c>
      <c r="D73" s="84">
        <v>70</v>
      </c>
      <c r="E73" s="85">
        <v>20</v>
      </c>
      <c r="F73" s="86">
        <f>4.2*(1.5^$Q$50)</f>
        <v>4.2</v>
      </c>
      <c r="G73" s="86">
        <f t="shared" si="12"/>
        <v>314</v>
      </c>
      <c r="H73" s="85">
        <v>20</v>
      </c>
      <c r="I73" s="86">
        <f>4.1*(1.5^$Q$50)</f>
        <v>4.1</v>
      </c>
      <c r="J73" s="86">
        <f t="shared" si="13"/>
        <v>307</v>
      </c>
      <c r="K73" s="85">
        <v>25</v>
      </c>
      <c r="L73" s="86">
        <f>16*(1.5^$Q$50)</f>
        <v>16</v>
      </c>
      <c r="M73" s="86">
        <f t="shared" si="14"/>
        <v>1145</v>
      </c>
      <c r="N73" s="8" t="s">
        <v>214</v>
      </c>
      <c r="O73" s="8" t="s">
        <v>215</v>
      </c>
    </row>
    <row r="74" spans="1:15">
      <c r="A74" s="33" t="s">
        <v>216</v>
      </c>
      <c r="B74" s="28" t="s">
        <v>30</v>
      </c>
      <c r="C74" s="10" t="s">
        <v>82</v>
      </c>
      <c r="D74" s="84">
        <v>70</v>
      </c>
      <c r="E74" s="85">
        <v>130</v>
      </c>
      <c r="F74" s="86">
        <f>5.8*(1.5^$Q$50)</f>
        <v>5.8</v>
      </c>
      <c r="G74" s="86">
        <f t="shared" si="12"/>
        <v>536</v>
      </c>
      <c r="H74" s="85">
        <v>140</v>
      </c>
      <c r="I74" s="86">
        <f>5.9*(1.5^$Q$50)</f>
        <v>5.9</v>
      </c>
      <c r="J74" s="86">
        <f t="shared" si="13"/>
        <v>553</v>
      </c>
      <c r="K74" s="85">
        <v>155</v>
      </c>
      <c r="L74" s="86">
        <f>19*(1.5^$Q$50)</f>
        <v>19</v>
      </c>
      <c r="M74" s="86">
        <f t="shared" si="14"/>
        <v>1485</v>
      </c>
      <c r="N74" s="8" t="s">
        <v>217</v>
      </c>
      <c r="O74" s="8" t="s">
        <v>218</v>
      </c>
    </row>
    <row r="75" spans="1:15">
      <c r="A75" s="19" t="s">
        <v>219</v>
      </c>
      <c r="B75" s="23" t="s">
        <v>26</v>
      </c>
      <c r="C75" s="10" t="s">
        <v>124</v>
      </c>
      <c r="D75" s="84">
        <v>70</v>
      </c>
      <c r="E75" s="85">
        <v>540</v>
      </c>
      <c r="F75" s="86">
        <f>8.2*(1.5^$Q$50)</f>
        <v>8.2</v>
      </c>
      <c r="G75" s="86">
        <f t="shared" si="12"/>
        <v>1114</v>
      </c>
      <c r="H75" s="85">
        <f>15</f>
        <v>15</v>
      </c>
      <c r="I75" s="86">
        <f>0.1*(1.5^$Q$50)</f>
        <v>0.1</v>
      </c>
      <c r="J75" s="86">
        <f t="shared" si="13"/>
        <v>22</v>
      </c>
      <c r="K75" s="85">
        <v>720</v>
      </c>
      <c r="L75" s="88">
        <f>33*(1.5^$Q$50)</f>
        <v>33</v>
      </c>
      <c r="M75" s="86">
        <f t="shared" si="14"/>
        <v>3030</v>
      </c>
      <c r="N75" s="8" t="s">
        <v>220</v>
      </c>
      <c r="O75" s="8" t="s">
        <v>221</v>
      </c>
    </row>
    <row r="76" spans="1:15">
      <c r="A76" s="22" t="s">
        <v>222</v>
      </c>
      <c r="B76" s="23" t="s">
        <v>26</v>
      </c>
      <c r="C76" s="10" t="s">
        <v>82</v>
      </c>
      <c r="D76" s="84">
        <v>70</v>
      </c>
      <c r="E76" s="85">
        <v>10</v>
      </c>
      <c r="F76" s="86">
        <f>4*(1.5^$Q$50)</f>
        <v>4</v>
      </c>
      <c r="G76" s="86">
        <f t="shared" si="12"/>
        <v>290</v>
      </c>
      <c r="H76" s="85">
        <v>11</v>
      </c>
      <c r="I76" s="86">
        <f>1.4*(1.5^$Q$50)</f>
        <v>1.4</v>
      </c>
      <c r="J76" s="86">
        <f t="shared" si="13"/>
        <v>109</v>
      </c>
      <c r="K76" s="85">
        <v>45</v>
      </c>
      <c r="L76" s="86">
        <f>25*(1.5^$Q$50)</f>
        <v>25</v>
      </c>
      <c r="M76" s="86">
        <f t="shared" si="14"/>
        <v>1795</v>
      </c>
      <c r="N76" s="8" t="s">
        <v>223</v>
      </c>
      <c r="O76" s="8" t="s">
        <v>215</v>
      </c>
    </row>
    <row r="77" spans="1:15">
      <c r="A77" s="33" t="s">
        <v>224</v>
      </c>
      <c r="B77" s="20" t="s">
        <v>21</v>
      </c>
      <c r="C77" s="10" t="s">
        <v>82</v>
      </c>
      <c r="D77" s="84">
        <v>70</v>
      </c>
      <c r="E77" s="85">
        <v>190</v>
      </c>
      <c r="F77" s="86">
        <f>9.5*(1.5^$Q$50)</f>
        <v>9.5</v>
      </c>
      <c r="G77" s="86">
        <f t="shared" si="12"/>
        <v>855</v>
      </c>
      <c r="H77" s="85">
        <v>5</v>
      </c>
      <c r="I77" s="86">
        <f>0.2*(1.5^$Q$50)</f>
        <v>0.2</v>
      </c>
      <c r="J77" s="86">
        <f t="shared" si="13"/>
        <v>19</v>
      </c>
      <c r="K77" s="85">
        <v>230</v>
      </c>
      <c r="L77" s="86">
        <f>25*(1.5^$Q$50)</f>
        <v>25</v>
      </c>
      <c r="M77" s="86">
        <f t="shared" si="14"/>
        <v>1980</v>
      </c>
      <c r="N77" s="8" t="s">
        <v>225</v>
      </c>
      <c r="O77" s="8" t="s">
        <v>166</v>
      </c>
    </row>
    <row r="78" spans="1:15">
      <c r="A78" s="26" t="s">
        <v>226</v>
      </c>
      <c r="B78" s="20" t="s">
        <v>21</v>
      </c>
      <c r="C78" s="10" t="s">
        <v>188</v>
      </c>
      <c r="D78" s="84">
        <v>70</v>
      </c>
      <c r="E78" s="85">
        <v>666</v>
      </c>
      <c r="F78" s="86">
        <f>135*(1.5^$Q$50)</f>
        <v>135</v>
      </c>
      <c r="G78" s="86">
        <f t="shared" si="12"/>
        <v>10116</v>
      </c>
      <c r="H78" s="85">
        <v>35</v>
      </c>
      <c r="I78" s="86">
        <f>3*(1.5^$Q$50)</f>
        <v>3</v>
      </c>
      <c r="J78" s="86">
        <f t="shared" si="13"/>
        <v>245</v>
      </c>
      <c r="K78" s="85">
        <v>2180</v>
      </c>
      <c r="L78" s="86">
        <f>189*(1.5^$Q$50)</f>
        <v>189</v>
      </c>
      <c r="M78" s="86">
        <f t="shared" si="14"/>
        <v>15410</v>
      </c>
      <c r="N78" s="8" t="s">
        <v>227</v>
      </c>
      <c r="O78" s="8" t="s">
        <v>90</v>
      </c>
    </row>
    <row r="79" spans="1:15">
      <c r="A79" s="19" t="s">
        <v>228</v>
      </c>
      <c r="B79" s="28" t="s">
        <v>30</v>
      </c>
      <c r="C79" s="10" t="s">
        <v>124</v>
      </c>
      <c r="D79" s="84">
        <v>70</v>
      </c>
      <c r="E79" s="85">
        <v>35</v>
      </c>
      <c r="F79" s="86">
        <f>1*(1.5^$Q$50)</f>
        <v>1</v>
      </c>
      <c r="G79" s="86">
        <f t="shared" si="12"/>
        <v>105</v>
      </c>
      <c r="H79" s="85">
        <v>740</v>
      </c>
      <c r="I79" s="86">
        <f>11*(1.5^$Q$50)</f>
        <v>11</v>
      </c>
      <c r="J79" s="86">
        <f t="shared" si="13"/>
        <v>1510</v>
      </c>
      <c r="K79" s="85">
        <v>500</v>
      </c>
      <c r="L79" s="86">
        <f>18*(1.5^$Q$50)</f>
        <v>18</v>
      </c>
      <c r="M79" s="86">
        <f t="shared" si="14"/>
        <v>1760</v>
      </c>
      <c r="N79" s="8" t="s">
        <v>144</v>
      </c>
      <c r="O79" s="8" t="s">
        <v>90</v>
      </c>
    </row>
    <row r="80" spans="1:15">
      <c r="A80" s="19" t="s">
        <v>229</v>
      </c>
      <c r="B80" s="20" t="s">
        <v>21</v>
      </c>
      <c r="C80" s="10" t="s">
        <v>120</v>
      </c>
      <c r="D80" s="84">
        <v>70</v>
      </c>
      <c r="E80" s="85">
        <v>455</v>
      </c>
      <c r="F80" s="91">
        <f>9.9*(1.5^$Q$50)</f>
        <v>9.9</v>
      </c>
      <c r="G80" s="86">
        <f t="shared" si="12"/>
        <v>1148</v>
      </c>
      <c r="H80" s="85">
        <v>12</v>
      </c>
      <c r="I80" s="86">
        <f>0.4*(1.5^$Q$50)</f>
        <v>0.4</v>
      </c>
      <c r="J80" s="86">
        <f t="shared" si="13"/>
        <v>40</v>
      </c>
      <c r="K80" s="85">
        <v>805</v>
      </c>
      <c r="L80" s="86">
        <f>21*(1.5^$Q$50)</f>
        <v>21</v>
      </c>
      <c r="M80" s="86">
        <f t="shared" si="14"/>
        <v>2275</v>
      </c>
      <c r="N80" s="8" t="s">
        <v>134</v>
      </c>
      <c r="O80" s="8" t="s">
        <v>230</v>
      </c>
    </row>
    <row r="81" spans="1:15">
      <c r="A81" s="22" t="s">
        <v>231</v>
      </c>
      <c r="B81" s="23" t="s">
        <v>26</v>
      </c>
      <c r="C81" s="10" t="s">
        <v>82</v>
      </c>
      <c r="D81" s="84">
        <v>70</v>
      </c>
      <c r="E81" s="85">
        <v>11</v>
      </c>
      <c r="F81" s="86">
        <f>3.3*(1.5^$Q$50)</f>
        <v>3.3</v>
      </c>
      <c r="G81" s="86">
        <f t="shared" si="12"/>
        <v>242</v>
      </c>
      <c r="H81" s="85">
        <v>6</v>
      </c>
      <c r="I81" s="86">
        <f>1.4*(1.5^$Q$50)</f>
        <v>1.4</v>
      </c>
      <c r="J81" s="86">
        <f t="shared" si="13"/>
        <v>104</v>
      </c>
      <c r="K81" s="85">
        <v>48</v>
      </c>
      <c r="L81" s="86">
        <f>27*(1.5^$Q$50)</f>
        <v>27</v>
      </c>
      <c r="M81" s="86">
        <f t="shared" si="14"/>
        <v>1938</v>
      </c>
      <c r="N81" s="8" t="s">
        <v>232</v>
      </c>
      <c r="O81" s="8" t="s">
        <v>215</v>
      </c>
    </row>
    <row r="82" spans="1:15">
      <c r="A82" s="19" t="s">
        <v>233</v>
      </c>
      <c r="B82" s="24" t="s">
        <v>16</v>
      </c>
      <c r="C82" s="10" t="s">
        <v>149</v>
      </c>
      <c r="D82" s="84">
        <v>70</v>
      </c>
      <c r="E82" s="85">
        <v>600</v>
      </c>
      <c r="F82" s="86">
        <f>9.5*(1.5^$Q$50)</f>
        <v>9.5</v>
      </c>
      <c r="G82" s="86">
        <f t="shared" si="12"/>
        <v>1265</v>
      </c>
      <c r="H82" s="85">
        <v>600</v>
      </c>
      <c r="I82" s="86">
        <f>9.5*(1.5^$Q$50)</f>
        <v>9.5</v>
      </c>
      <c r="J82" s="86">
        <f t="shared" si="13"/>
        <v>1265</v>
      </c>
      <c r="K82" s="85">
        <v>600</v>
      </c>
      <c r="L82" s="92">
        <f>25*(1.5^$Q$50)</f>
        <v>25</v>
      </c>
      <c r="M82" s="86">
        <f t="shared" si="14"/>
        <v>2350</v>
      </c>
      <c r="N82" s="8" t="s">
        <v>234</v>
      </c>
      <c r="O82" s="8" t="s">
        <v>163</v>
      </c>
    </row>
    <row r="83" spans="1:15">
      <c r="A83" s="19" t="s">
        <v>235</v>
      </c>
      <c r="B83" s="20" t="s">
        <v>21</v>
      </c>
      <c r="C83" s="10" t="s">
        <v>120</v>
      </c>
      <c r="D83" s="84">
        <v>70</v>
      </c>
      <c r="E83" s="85">
        <v>462</v>
      </c>
      <c r="F83" s="86">
        <f>8.8*(1.5^$Q$50)</f>
        <v>8.8</v>
      </c>
      <c r="G83" s="86">
        <f t="shared" si="12"/>
        <v>1078</v>
      </c>
      <c r="H83" s="85">
        <v>15</v>
      </c>
      <c r="I83" s="86">
        <f>0.7*(1.5^$Q$50)</f>
        <v>0.7</v>
      </c>
      <c r="J83" s="86">
        <f t="shared" si="13"/>
        <v>64</v>
      </c>
      <c r="K83" s="85">
        <v>860</v>
      </c>
      <c r="L83" s="86">
        <f>30*(1.5^$Q$50)</f>
        <v>30</v>
      </c>
      <c r="M83" s="86">
        <f t="shared" si="14"/>
        <v>2960</v>
      </c>
      <c r="N83" s="8" t="s">
        <v>236</v>
      </c>
      <c r="O83" s="8" t="s">
        <v>126</v>
      </c>
    </row>
    <row r="84" spans="1:15">
      <c r="A84" s="19" t="s">
        <v>237</v>
      </c>
      <c r="B84" s="20" t="s">
        <v>21</v>
      </c>
      <c r="C84" s="10" t="s">
        <v>124</v>
      </c>
      <c r="D84" s="84">
        <v>70</v>
      </c>
      <c r="E84" s="85">
        <v>506</v>
      </c>
      <c r="F84" s="86">
        <f>7.7*(1.5^$Q$50)</f>
        <v>7.7</v>
      </c>
      <c r="G84" s="86">
        <f t="shared" si="12"/>
        <v>1045</v>
      </c>
      <c r="H84" s="85">
        <v>23</v>
      </c>
      <c r="I84" s="86">
        <f>0.7*(1.5^$Q$50)</f>
        <v>0.7</v>
      </c>
      <c r="J84" s="86">
        <f t="shared" si="13"/>
        <v>72</v>
      </c>
      <c r="K84" s="85">
        <v>890</v>
      </c>
      <c r="L84" s="92">
        <f>39*(1.5^$Q$50)</f>
        <v>39</v>
      </c>
      <c r="M84" s="86">
        <f t="shared" si="14"/>
        <v>3620</v>
      </c>
      <c r="N84" s="8" t="s">
        <v>238</v>
      </c>
      <c r="O84" s="8" t="s">
        <v>239</v>
      </c>
    </row>
    <row r="85" spans="1:15">
      <c r="A85" s="33" t="s">
        <v>240</v>
      </c>
      <c r="B85" s="23" t="s">
        <v>26</v>
      </c>
      <c r="C85" s="10" t="s">
        <v>82</v>
      </c>
      <c r="D85" s="84">
        <v>70</v>
      </c>
      <c r="E85" s="85">
        <v>175</v>
      </c>
      <c r="F85" s="86">
        <f>9*(1.5^$Q$50)</f>
        <v>9</v>
      </c>
      <c r="G85" s="86">
        <f t="shared" si="12"/>
        <v>805</v>
      </c>
      <c r="H85" s="85">
        <v>10</v>
      </c>
      <c r="I85" s="86">
        <f>2.3*(1.5^$Q$50)</f>
        <v>2.3</v>
      </c>
      <c r="J85" s="86">
        <f t="shared" si="13"/>
        <v>171</v>
      </c>
      <c r="K85" s="85">
        <v>240</v>
      </c>
      <c r="L85" s="86">
        <f>20*(1.5^$Q$50)</f>
        <v>20</v>
      </c>
      <c r="M85" s="86">
        <f t="shared" si="14"/>
        <v>1640</v>
      </c>
      <c r="N85" s="8" t="s">
        <v>241</v>
      </c>
      <c r="O85" s="8" t="s">
        <v>195</v>
      </c>
    </row>
    <row r="86" spans="1:15">
      <c r="A86" s="19" t="s">
        <v>242</v>
      </c>
      <c r="B86" s="24" t="s">
        <v>16</v>
      </c>
      <c r="C86" s="10" t="s">
        <v>82</v>
      </c>
      <c r="D86" s="84">
        <v>70</v>
      </c>
      <c r="E86" s="85">
        <v>85</v>
      </c>
      <c r="F86" s="86">
        <f>0.5*(1.5^$Q$50)</f>
        <v>0.5</v>
      </c>
      <c r="G86" s="86">
        <f t="shared" si="12"/>
        <v>120</v>
      </c>
      <c r="H86" s="85">
        <v>800</v>
      </c>
      <c r="I86" s="91">
        <f>13.5*(1.5^$Q$50)</f>
        <v>13.5</v>
      </c>
      <c r="J86" s="86">
        <f t="shared" si="13"/>
        <v>1745</v>
      </c>
      <c r="K86" s="85">
        <v>550</v>
      </c>
      <c r="L86" s="86">
        <f>15*(1.5^$Q$50)</f>
        <v>15</v>
      </c>
      <c r="M86" s="86">
        <f t="shared" si="14"/>
        <v>1600</v>
      </c>
      <c r="N86" s="8" t="s">
        <v>243</v>
      </c>
      <c r="O86" s="8" t="s">
        <v>244</v>
      </c>
    </row>
    <row r="87" spans="1:15">
      <c r="A87" s="19" t="s">
        <v>245</v>
      </c>
      <c r="B87" s="20" t="s">
        <v>21</v>
      </c>
      <c r="C87" s="10" t="s">
        <v>124</v>
      </c>
      <c r="D87" s="84">
        <v>70</v>
      </c>
      <c r="E87" s="85">
        <v>310</v>
      </c>
      <c r="F87" s="86">
        <f>8.6*(1.5^$Q$50)</f>
        <v>8.6</v>
      </c>
      <c r="G87" s="86">
        <f t="shared" si="12"/>
        <v>912</v>
      </c>
      <c r="H87" s="85">
        <v>55</v>
      </c>
      <c r="I87" s="86">
        <f>0.7*(1.5^$Q$50)</f>
        <v>0.7</v>
      </c>
      <c r="J87" s="86">
        <f t="shared" si="13"/>
        <v>104</v>
      </c>
      <c r="K87" s="85">
        <v>920</v>
      </c>
      <c r="L87" s="86">
        <f>26*(1.5^$Q$50)</f>
        <v>26</v>
      </c>
      <c r="M87" s="86">
        <f t="shared" si="14"/>
        <v>2740</v>
      </c>
      <c r="N87" s="8" t="s">
        <v>246</v>
      </c>
      <c r="O87" s="8" t="s">
        <v>247</v>
      </c>
    </row>
    <row r="88" spans="1:15">
      <c r="A88" s="19" t="s">
        <v>248</v>
      </c>
      <c r="B88" s="28" t="s">
        <v>30</v>
      </c>
      <c r="C88" s="10" t="s">
        <v>149</v>
      </c>
      <c r="D88" s="84">
        <v>70</v>
      </c>
      <c r="E88" s="85">
        <v>225</v>
      </c>
      <c r="F88" s="86">
        <f>2.7*(1.5^$Q$50)</f>
        <v>2.7</v>
      </c>
      <c r="G88" s="86">
        <f t="shared" si="12"/>
        <v>414</v>
      </c>
      <c r="H88" s="85">
        <v>645</v>
      </c>
      <c r="I88" s="86">
        <f>9.3*(1.5^$Q$50)</f>
        <v>9.3</v>
      </c>
      <c r="J88" s="86">
        <f t="shared" si="13"/>
        <v>1296</v>
      </c>
      <c r="K88" s="85">
        <v>405</v>
      </c>
      <c r="L88" s="86">
        <f>18*(1.5^$Q$50)</f>
        <v>18</v>
      </c>
      <c r="M88" s="86">
        <f t="shared" si="14"/>
        <v>1665</v>
      </c>
      <c r="N88" s="8" t="s">
        <v>249</v>
      </c>
      <c r="O88" s="8" t="s">
        <v>204</v>
      </c>
    </row>
    <row r="89" spans="1:15">
      <c r="A89" s="19" t="s">
        <v>250</v>
      </c>
      <c r="B89" s="20" t="s">
        <v>21</v>
      </c>
      <c r="C89" s="10" t="s">
        <v>120</v>
      </c>
      <c r="D89" s="84">
        <v>70</v>
      </c>
      <c r="E89" s="85">
        <v>375</v>
      </c>
      <c r="F89" s="86">
        <f>6.7*(1.5^$Q$50)</f>
        <v>6.7</v>
      </c>
      <c r="G89" s="86">
        <f t="shared" si="12"/>
        <v>844</v>
      </c>
      <c r="H89" s="85">
        <v>75</v>
      </c>
      <c r="I89" s="86">
        <f>0.3*(1.5^$Q$50)</f>
        <v>0.3</v>
      </c>
      <c r="J89" s="86">
        <f t="shared" si="13"/>
        <v>96</v>
      </c>
      <c r="K89" s="85">
        <v>825</v>
      </c>
      <c r="L89" s="88">
        <f>33*(1.5^$Q$50)</f>
        <v>33</v>
      </c>
      <c r="M89" s="86">
        <f t="shared" si="14"/>
        <v>3135</v>
      </c>
      <c r="N89" s="8" t="s">
        <v>251</v>
      </c>
      <c r="O89" s="8" t="s">
        <v>252</v>
      </c>
    </row>
    <row r="90" spans="1:15">
      <c r="A90" s="22" t="s">
        <v>253</v>
      </c>
      <c r="B90" s="23" t="s">
        <v>26</v>
      </c>
      <c r="C90" s="10" t="s">
        <v>82</v>
      </c>
      <c r="D90" s="84">
        <v>70</v>
      </c>
      <c r="E90" s="85">
        <v>10</v>
      </c>
      <c r="F90" s="86">
        <f>3.3*(1.5^$Q$50)</f>
        <v>3.3</v>
      </c>
      <c r="G90" s="86">
        <f t="shared" si="12"/>
        <v>241</v>
      </c>
      <c r="H90" s="85">
        <v>5</v>
      </c>
      <c r="I90" s="86">
        <f>1.4*(1.5^$Q$50)</f>
        <v>1.4</v>
      </c>
      <c r="J90" s="86">
        <f t="shared" si="13"/>
        <v>103</v>
      </c>
      <c r="K90" s="85">
        <v>50</v>
      </c>
      <c r="L90" s="86">
        <f>27*(1.5^$Q$50)</f>
        <v>27</v>
      </c>
      <c r="M90" s="86">
        <f t="shared" si="14"/>
        <v>1940</v>
      </c>
      <c r="N90" s="8" t="s">
        <v>215</v>
      </c>
      <c r="O90" s="8" t="s">
        <v>214</v>
      </c>
    </row>
    <row r="91" spans="1:15">
      <c r="A91" s="19" t="s">
        <v>254</v>
      </c>
      <c r="B91" s="28" t="s">
        <v>30</v>
      </c>
      <c r="C91" s="10" t="s">
        <v>120</v>
      </c>
      <c r="D91" s="84">
        <v>70</v>
      </c>
      <c r="E91" s="85">
        <v>105</v>
      </c>
      <c r="F91" s="86">
        <f>0.7*(1.5^$Q$50)</f>
        <v>0.7</v>
      </c>
      <c r="G91" s="86">
        <f t="shared" si="12"/>
        <v>154</v>
      </c>
      <c r="H91" s="85">
        <v>615</v>
      </c>
      <c r="I91" s="86">
        <f>11*(1.5^$Q$50)</f>
        <v>11</v>
      </c>
      <c r="J91" s="86">
        <f t="shared" si="13"/>
        <v>1385</v>
      </c>
      <c r="K91" s="85">
        <v>555</v>
      </c>
      <c r="L91" s="86">
        <f>19*(1.5^$Q$50)</f>
        <v>19</v>
      </c>
      <c r="M91" s="86">
        <f t="shared" si="14"/>
        <v>1885</v>
      </c>
      <c r="N91" s="8" t="s">
        <v>255</v>
      </c>
      <c r="O91" s="8" t="s">
        <v>210</v>
      </c>
    </row>
    <row r="92" spans="1:15">
      <c r="A92" s="22" t="s">
        <v>256</v>
      </c>
      <c r="B92" s="20" t="s">
        <v>21</v>
      </c>
      <c r="C92" s="10" t="s">
        <v>82</v>
      </c>
      <c r="D92" s="84">
        <v>70</v>
      </c>
      <c r="E92" s="85">
        <v>25</v>
      </c>
      <c r="F92" s="86">
        <f>6.8*(1.5^$Q$50)</f>
        <v>6.8</v>
      </c>
      <c r="G92" s="86">
        <f t="shared" si="12"/>
        <v>501</v>
      </c>
      <c r="H92" s="85">
        <v>2</v>
      </c>
      <c r="I92" s="86">
        <f>1.2*(1.5^$Q$50)</f>
        <v>1.2</v>
      </c>
      <c r="J92" s="86">
        <f t="shared" si="13"/>
        <v>86</v>
      </c>
      <c r="K92" s="85">
        <v>38</v>
      </c>
      <c r="L92" s="86">
        <f>17*(1.5^$Q$50)</f>
        <v>17</v>
      </c>
      <c r="M92" s="86">
        <f t="shared" si="14"/>
        <v>1228</v>
      </c>
      <c r="N92" s="8" t="s">
        <v>257</v>
      </c>
      <c r="O92" s="8" t="s">
        <v>258</v>
      </c>
    </row>
    <row r="93" spans="1:15">
      <c r="A93" s="34" t="s">
        <v>259</v>
      </c>
      <c r="B93" s="28" t="s">
        <v>30</v>
      </c>
      <c r="C93" s="10" t="s">
        <v>82</v>
      </c>
      <c r="D93" s="84">
        <v>70</v>
      </c>
      <c r="E93" s="85">
        <v>144</v>
      </c>
      <c r="F93" s="86">
        <f>4.2*(1.5^$Q$50)</f>
        <v>4.2</v>
      </c>
      <c r="G93" s="86">
        <f t="shared" si="12"/>
        <v>438</v>
      </c>
      <c r="H93" s="85">
        <v>296</v>
      </c>
      <c r="I93" s="86">
        <f>8.5*(1.5^$Q$50)</f>
        <v>8.5</v>
      </c>
      <c r="J93" s="86">
        <f t="shared" si="13"/>
        <v>891</v>
      </c>
      <c r="K93" s="85">
        <v>240</v>
      </c>
      <c r="L93" s="86">
        <f>16*(1.5^$Q$50)</f>
        <v>16</v>
      </c>
      <c r="M93" s="86">
        <f t="shared" si="14"/>
        <v>1360</v>
      </c>
      <c r="N93" s="8" t="s">
        <v>260</v>
      </c>
      <c r="O93" s="8" t="s">
        <v>185</v>
      </c>
    </row>
    <row r="94" spans="1:15">
      <c r="A94" s="19" t="s">
        <v>261</v>
      </c>
      <c r="B94" s="23" t="s">
        <v>26</v>
      </c>
      <c r="C94" s="10" t="s">
        <v>149</v>
      </c>
      <c r="D94" s="84">
        <v>70</v>
      </c>
      <c r="E94" s="85">
        <v>465</v>
      </c>
      <c r="F94" s="88">
        <f>8.6*(1.5^$Q$50)</f>
        <v>8.6</v>
      </c>
      <c r="G94" s="86">
        <f t="shared" si="12"/>
        <v>1067</v>
      </c>
      <c r="H94" s="85">
        <v>45</v>
      </c>
      <c r="I94" s="86">
        <f>0.1*(1.5^$Q$50)</f>
        <v>0.1</v>
      </c>
      <c r="J94" s="86">
        <f t="shared" si="13"/>
        <v>52</v>
      </c>
      <c r="K94" s="85">
        <v>765</v>
      </c>
      <c r="L94" s="88">
        <f>28*(1.5^$Q$50)</f>
        <v>28</v>
      </c>
      <c r="M94" s="86">
        <f t="shared" si="14"/>
        <v>2725</v>
      </c>
      <c r="N94" s="8" t="s">
        <v>262</v>
      </c>
      <c r="O94" s="8" t="s">
        <v>182</v>
      </c>
    </row>
    <row r="95" spans="1:15">
      <c r="A95" s="19" t="s">
        <v>263</v>
      </c>
      <c r="B95" s="20" t="s">
        <v>21</v>
      </c>
      <c r="C95" s="10" t="s">
        <v>149</v>
      </c>
      <c r="D95" s="84">
        <v>70</v>
      </c>
      <c r="E95" s="85">
        <v>450</v>
      </c>
      <c r="F95" s="86">
        <f>9.2*(1.5^$Q$50)</f>
        <v>9.2</v>
      </c>
      <c r="G95" s="86">
        <f t="shared" si="12"/>
        <v>1094</v>
      </c>
      <c r="H95" s="85">
        <v>150</v>
      </c>
      <c r="I95" s="86">
        <f>0.5*(1.5^$Q$50)</f>
        <v>0.5</v>
      </c>
      <c r="J95" s="86">
        <f t="shared" si="13"/>
        <v>185</v>
      </c>
      <c r="K95" s="85">
        <v>675</v>
      </c>
      <c r="L95" s="86">
        <f>25*(1.5^$Q$50)</f>
        <v>25</v>
      </c>
      <c r="M95" s="86">
        <f t="shared" si="14"/>
        <v>2425</v>
      </c>
      <c r="N95" s="8" t="s">
        <v>150</v>
      </c>
      <c r="O95" s="8" t="s">
        <v>161</v>
      </c>
    </row>
    <row r="96" spans="1:15">
      <c r="A96" s="19" t="s">
        <v>264</v>
      </c>
      <c r="B96" s="24" t="s">
        <v>16</v>
      </c>
      <c r="C96" s="10" t="s">
        <v>120</v>
      </c>
      <c r="D96" s="84">
        <v>70</v>
      </c>
      <c r="E96" s="85">
        <v>120</v>
      </c>
      <c r="F96" s="86">
        <f>3.3*(1.5^$Q$50)</f>
        <v>3.3</v>
      </c>
      <c r="G96" s="86">
        <f t="shared" si="12"/>
        <v>351</v>
      </c>
      <c r="H96" s="85">
        <v>570</v>
      </c>
      <c r="I96" s="86">
        <f>9.4*(1.5^$Q$50)</f>
        <v>9.4</v>
      </c>
      <c r="J96" s="86">
        <f t="shared" si="13"/>
        <v>1228</v>
      </c>
      <c r="K96" s="85">
        <v>585</v>
      </c>
      <c r="L96" s="86">
        <f>16*(1.5^$Q$50)</f>
        <v>16</v>
      </c>
      <c r="M96" s="86">
        <f t="shared" si="14"/>
        <v>1705</v>
      </c>
      <c r="N96" s="8" t="s">
        <v>168</v>
      </c>
      <c r="O96" s="8" t="s">
        <v>265</v>
      </c>
    </row>
    <row r="97" spans="1:15">
      <c r="A97" s="22" t="s">
        <v>266</v>
      </c>
      <c r="B97" s="28" t="s">
        <v>30</v>
      </c>
      <c r="C97" s="10" t="s">
        <v>82</v>
      </c>
      <c r="D97" s="84">
        <v>70</v>
      </c>
      <c r="E97" s="85">
        <v>18</v>
      </c>
      <c r="F97" s="86">
        <f>5*(1.5^$Q$50)</f>
        <v>5</v>
      </c>
      <c r="G97" s="86">
        <f t="shared" si="12"/>
        <v>368</v>
      </c>
      <c r="H97" s="85">
        <v>6</v>
      </c>
      <c r="I97" s="86">
        <f>1.3*(1.5^$Q$50)</f>
        <v>1.3</v>
      </c>
      <c r="J97" s="86">
        <f t="shared" si="13"/>
        <v>97</v>
      </c>
      <c r="K97" s="85">
        <v>42</v>
      </c>
      <c r="L97" s="86">
        <f>22*(1.5^$Q$50)</f>
        <v>22</v>
      </c>
      <c r="M97" s="86">
        <f t="shared" si="14"/>
        <v>1582</v>
      </c>
      <c r="N97" s="8" t="s">
        <v>267</v>
      </c>
      <c r="O97" s="8" t="s">
        <v>268</v>
      </c>
    </row>
    <row r="98" spans="1:15">
      <c r="A98" s="19" t="s">
        <v>269</v>
      </c>
      <c r="B98" s="28" t="s">
        <v>30</v>
      </c>
      <c r="C98" s="10" t="s">
        <v>149</v>
      </c>
      <c r="D98" s="84">
        <v>70</v>
      </c>
      <c r="E98" s="85">
        <v>225</v>
      </c>
      <c r="F98" s="86">
        <f>3.2*(1.5^$Q$50)</f>
        <v>3.2</v>
      </c>
      <c r="G98" s="86">
        <f t="shared" si="12"/>
        <v>449</v>
      </c>
      <c r="H98" s="85">
        <v>705</v>
      </c>
      <c r="I98" s="86">
        <f>9.5*(1.5^$Q$50)</f>
        <v>9.5</v>
      </c>
      <c r="J98" s="86">
        <f t="shared" si="13"/>
        <v>1370</v>
      </c>
      <c r="K98" s="85">
        <v>345</v>
      </c>
      <c r="L98" s="86">
        <f>16*(1.5^$Q$50)</f>
        <v>16</v>
      </c>
      <c r="M98" s="86">
        <f t="shared" si="14"/>
        <v>1465</v>
      </c>
      <c r="N98" s="8" t="s">
        <v>204</v>
      </c>
      <c r="O98" s="8" t="s">
        <v>249</v>
      </c>
    </row>
    <row r="99" spans="1:15">
      <c r="A99" s="19" t="s">
        <v>270</v>
      </c>
      <c r="B99" s="20" t="s">
        <v>21</v>
      </c>
      <c r="C99" s="10" t="s">
        <v>149</v>
      </c>
      <c r="D99" s="84">
        <v>70</v>
      </c>
      <c r="E99" s="85">
        <v>525</v>
      </c>
      <c r="F99" s="86">
        <f>9.2*(1.5^$Q$50)</f>
        <v>9.2</v>
      </c>
      <c r="G99" s="86">
        <f t="shared" si="12"/>
        <v>1169</v>
      </c>
      <c r="H99" s="85">
        <v>270</v>
      </c>
      <c r="I99" s="86">
        <f>1.5*(1.5^$Q$50)</f>
        <v>1.5</v>
      </c>
      <c r="J99" s="86">
        <f t="shared" si="13"/>
        <v>375</v>
      </c>
      <c r="K99" s="85">
        <v>480</v>
      </c>
      <c r="L99" s="86">
        <f>22*(1.5^$Q$50)</f>
        <v>22</v>
      </c>
      <c r="M99" s="86">
        <f t="shared" si="14"/>
        <v>2020</v>
      </c>
      <c r="N99" s="8" t="s">
        <v>271</v>
      </c>
      <c r="O99" s="8" t="s">
        <v>151</v>
      </c>
    </row>
    <row r="100" spans="1:15">
      <c r="A100" s="19" t="s">
        <v>272</v>
      </c>
      <c r="B100" s="20" t="s">
        <v>21</v>
      </c>
      <c r="C100" s="10" t="s">
        <v>140</v>
      </c>
      <c r="D100" s="84">
        <v>70</v>
      </c>
      <c r="E100" s="85">
        <v>300</v>
      </c>
      <c r="F100" s="86">
        <f>6*(1.5^$Q$50)</f>
        <v>6</v>
      </c>
      <c r="G100" s="86">
        <f t="shared" si="12"/>
        <v>720</v>
      </c>
      <c r="H100" s="85">
        <v>75</v>
      </c>
      <c r="I100" s="86">
        <f>0.7*(1.5^$Q$50)</f>
        <v>0.7</v>
      </c>
      <c r="J100" s="86">
        <f t="shared" si="13"/>
        <v>124</v>
      </c>
      <c r="K100" s="85">
        <v>900</v>
      </c>
      <c r="L100" s="89">
        <f>40*(1.5^$Q$50)</f>
        <v>40</v>
      </c>
      <c r="M100" s="86">
        <f t="shared" si="14"/>
        <v>3700</v>
      </c>
      <c r="N100" s="8" t="s">
        <v>273</v>
      </c>
      <c r="O100" s="8" t="s">
        <v>274</v>
      </c>
    </row>
    <row r="101" spans="1:15">
      <c r="A101" s="19" t="s">
        <v>275</v>
      </c>
      <c r="B101" s="23" t="s">
        <v>26</v>
      </c>
      <c r="C101" s="10" t="s">
        <v>140</v>
      </c>
      <c r="D101" s="84">
        <v>70</v>
      </c>
      <c r="E101" s="85">
        <f>630</f>
        <v>630</v>
      </c>
      <c r="F101" s="90">
        <f>8.7*(1.5^$Q$50)</f>
        <v>8.7</v>
      </c>
      <c r="G101" s="86">
        <f t="shared" si="12"/>
        <v>1239</v>
      </c>
      <c r="H101" s="85">
        <v>15</v>
      </c>
      <c r="I101" s="86">
        <f>0.3*(1.5^$Q$50)</f>
        <v>0.3</v>
      </c>
      <c r="J101" s="86">
        <f t="shared" si="13"/>
        <v>36</v>
      </c>
      <c r="K101" s="85">
        <v>630</v>
      </c>
      <c r="L101" s="86">
        <f>27*(1.5^$Q$50)</f>
        <v>27</v>
      </c>
      <c r="M101" s="86">
        <f t="shared" si="14"/>
        <v>2520</v>
      </c>
      <c r="N101" s="8" t="s">
        <v>276</v>
      </c>
      <c r="O101" s="8" t="s">
        <v>193</v>
      </c>
    </row>
    <row r="102" spans="1:15">
      <c r="A102" s="22" t="s">
        <v>277</v>
      </c>
      <c r="B102" s="24" t="s">
        <v>16</v>
      </c>
      <c r="C102" s="10" t="s">
        <v>82</v>
      </c>
      <c r="D102" s="84">
        <v>70</v>
      </c>
      <c r="E102" s="85">
        <v>10</v>
      </c>
      <c r="F102" s="86">
        <f>3*(1.5^$Q$50)</f>
        <v>3</v>
      </c>
      <c r="G102" s="86">
        <f t="shared" si="12"/>
        <v>220</v>
      </c>
      <c r="H102" s="85">
        <v>35</v>
      </c>
      <c r="I102" s="86">
        <f>7.3*(1.5^$Q$50)</f>
        <v>7.3</v>
      </c>
      <c r="J102" s="86">
        <f t="shared" si="13"/>
        <v>546</v>
      </c>
      <c r="K102" s="85">
        <v>20</v>
      </c>
      <c r="L102" s="86">
        <f>10*(1.5^$Q$50)</f>
        <v>10</v>
      </c>
      <c r="M102" s="86">
        <f t="shared" si="14"/>
        <v>720</v>
      </c>
      <c r="N102" s="8" t="s">
        <v>278</v>
      </c>
      <c r="O102" s="8" t="s">
        <v>279</v>
      </c>
    </row>
    <row r="103" spans="1:15">
      <c r="A103" s="19" t="s">
        <v>280</v>
      </c>
      <c r="B103" s="23" t="s">
        <v>26</v>
      </c>
      <c r="C103" s="10" t="s">
        <v>140</v>
      </c>
      <c r="D103" s="84">
        <v>70</v>
      </c>
      <c r="E103" s="85">
        <v>415</v>
      </c>
      <c r="F103" s="86">
        <f>7.9*(1.5^$Q$50)</f>
        <v>7.9</v>
      </c>
      <c r="G103" s="86">
        <f t="shared" si="12"/>
        <v>968</v>
      </c>
      <c r="H103" s="85">
        <v>15</v>
      </c>
      <c r="I103" s="86">
        <f>0.1*(1.5^$Q$50)</f>
        <v>0.1</v>
      </c>
      <c r="J103" s="86">
        <f t="shared" si="13"/>
        <v>22</v>
      </c>
      <c r="K103" s="85">
        <v>825</v>
      </c>
      <c r="L103" s="86">
        <f>30*(1.5^$Q$50)</f>
        <v>30</v>
      </c>
      <c r="M103" s="86">
        <f t="shared" si="14"/>
        <v>2925</v>
      </c>
      <c r="N103" s="8" t="s">
        <v>212</v>
      </c>
      <c r="O103" s="8" t="s">
        <v>182</v>
      </c>
    </row>
    <row r="104" spans="1:15">
      <c r="A104" s="19" t="s">
        <v>281</v>
      </c>
      <c r="B104" s="24" t="s">
        <v>16</v>
      </c>
      <c r="C104" s="10" t="s">
        <v>124</v>
      </c>
      <c r="D104" s="84">
        <v>70</v>
      </c>
      <c r="E104" s="85">
        <v>35</v>
      </c>
      <c r="F104" s="86">
        <f>0.5*(1.5^$Q$50)</f>
        <v>0.5</v>
      </c>
      <c r="G104" s="86">
        <f t="shared" si="12"/>
        <v>70</v>
      </c>
      <c r="H104" s="85">
        <v>725</v>
      </c>
      <c r="I104" s="91">
        <f>13.5*(1.5^$Q$50)</f>
        <v>13.5</v>
      </c>
      <c r="J104" s="86">
        <f t="shared" si="13"/>
        <v>1670</v>
      </c>
      <c r="K104" s="85">
        <v>515</v>
      </c>
      <c r="L104" s="86">
        <f>15*(1.5^$Q$50)</f>
        <v>15</v>
      </c>
      <c r="M104" s="86">
        <f t="shared" si="14"/>
        <v>1565</v>
      </c>
      <c r="N104" s="8" t="s">
        <v>201</v>
      </c>
      <c r="O104" s="8" t="s">
        <v>236</v>
      </c>
    </row>
    <row r="105" spans="1:15">
      <c r="A105" s="19" t="s">
        <v>282</v>
      </c>
      <c r="B105" s="23" t="s">
        <v>26</v>
      </c>
      <c r="C105" s="10" t="s">
        <v>140</v>
      </c>
      <c r="D105" s="84">
        <v>70</v>
      </c>
      <c r="E105" s="85">
        <v>560</v>
      </c>
      <c r="F105" s="86">
        <f>8*(1.5^$Q$50)</f>
        <v>8</v>
      </c>
      <c r="G105" s="86">
        <f t="shared" si="12"/>
        <v>1120</v>
      </c>
      <c r="H105" s="85">
        <f>15</f>
        <v>15</v>
      </c>
      <c r="I105" s="86">
        <f>0.3*(1.5^$Q$50)</f>
        <v>0.3</v>
      </c>
      <c r="J105" s="86">
        <f t="shared" si="13"/>
        <v>36</v>
      </c>
      <c r="K105" s="85">
        <v>700</v>
      </c>
      <c r="L105" s="86">
        <f>29*(1.5^$Q$50)</f>
        <v>29</v>
      </c>
      <c r="M105" s="86">
        <f t="shared" si="14"/>
        <v>2730</v>
      </c>
      <c r="N105" s="8" t="s">
        <v>193</v>
      </c>
      <c r="O105" s="8" t="s">
        <v>90</v>
      </c>
    </row>
    <row r="106" spans="1:15">
      <c r="A106" s="19" t="s">
        <v>283</v>
      </c>
      <c r="B106" s="24" t="s">
        <v>16</v>
      </c>
      <c r="C106" s="10" t="s">
        <v>140</v>
      </c>
      <c r="D106" s="84">
        <v>70</v>
      </c>
      <c r="E106" s="85">
        <v>90</v>
      </c>
      <c r="F106" s="86">
        <f>0.5*(1.5^$Q$50)</f>
        <v>0.5</v>
      </c>
      <c r="G106" s="86">
        <f t="shared" si="12"/>
        <v>125</v>
      </c>
      <c r="H106" s="85">
        <v>585</v>
      </c>
      <c r="I106" s="86">
        <f>9.2*(1.5^$Q$50)</f>
        <v>9.2</v>
      </c>
      <c r="J106" s="86">
        <f t="shared" si="13"/>
        <v>1229</v>
      </c>
      <c r="K106" s="85">
        <v>600</v>
      </c>
      <c r="L106" s="92">
        <f>25*(1.5^$Q$50)</f>
        <v>25</v>
      </c>
      <c r="M106" s="86">
        <f t="shared" si="14"/>
        <v>2350</v>
      </c>
      <c r="N106" s="8" t="s">
        <v>284</v>
      </c>
      <c r="O106" s="8" t="s">
        <v>90</v>
      </c>
    </row>
    <row r="107" spans="1:15">
      <c r="A107" s="19" t="s">
        <v>285</v>
      </c>
      <c r="B107" s="24" t="s">
        <v>16</v>
      </c>
      <c r="C107" s="10" t="s">
        <v>140</v>
      </c>
      <c r="D107" s="84">
        <v>70</v>
      </c>
      <c r="E107" s="85">
        <v>75</v>
      </c>
      <c r="F107" s="86">
        <f>0.3*(1.5^$Q$50)</f>
        <v>0.3</v>
      </c>
      <c r="G107" s="86">
        <f t="shared" si="12"/>
        <v>96</v>
      </c>
      <c r="H107" s="85">
        <v>675</v>
      </c>
      <c r="I107" s="88">
        <f>10*(1.5^$Q$50)</f>
        <v>10</v>
      </c>
      <c r="J107" s="86">
        <f t="shared" si="13"/>
        <v>1375</v>
      </c>
      <c r="K107" s="85">
        <v>525</v>
      </c>
      <c r="L107" s="90">
        <f>23*(1.5^$Q$50)</f>
        <v>23</v>
      </c>
      <c r="M107" s="86">
        <f t="shared" si="14"/>
        <v>2135</v>
      </c>
      <c r="N107" s="8" t="s">
        <v>234</v>
      </c>
      <c r="O107" s="8" t="s">
        <v>265</v>
      </c>
    </row>
    <row r="108" spans="1:15">
      <c r="A108" s="19" t="s">
        <v>286</v>
      </c>
      <c r="B108" s="24" t="s">
        <v>16</v>
      </c>
      <c r="C108" s="10" t="s">
        <v>124</v>
      </c>
      <c r="D108" s="84">
        <v>70</v>
      </c>
      <c r="E108" s="85">
        <v>25</v>
      </c>
      <c r="F108" s="86">
        <f>1.6*(1.5^$Q$50)</f>
        <v>1.6</v>
      </c>
      <c r="G108" s="86">
        <f t="shared" si="12"/>
        <v>137</v>
      </c>
      <c r="H108" s="85">
        <f>160</f>
        <v>160</v>
      </c>
      <c r="I108" s="86">
        <f>9*(1.5^$Q$50)</f>
        <v>9</v>
      </c>
      <c r="J108" s="86">
        <f t="shared" si="13"/>
        <v>790</v>
      </c>
      <c r="K108" s="85">
        <v>490</v>
      </c>
      <c r="L108" s="89">
        <f>28*(1.5^$Q$50)</f>
        <v>28</v>
      </c>
      <c r="M108" s="86">
        <f t="shared" si="14"/>
        <v>2450</v>
      </c>
      <c r="N108" s="8" t="s">
        <v>234</v>
      </c>
      <c r="O108" s="8" t="s">
        <v>287</v>
      </c>
    </row>
    <row r="109" spans="1:15">
      <c r="A109" s="19" t="s">
        <v>288</v>
      </c>
      <c r="B109" s="28" t="s">
        <v>30</v>
      </c>
      <c r="C109" s="10" t="s">
        <v>149</v>
      </c>
      <c r="D109" s="84">
        <v>70</v>
      </c>
      <c r="E109" s="85">
        <v>135</v>
      </c>
      <c r="F109" s="86">
        <f>3.4*(1.5^$Q$50)</f>
        <v>3.4</v>
      </c>
      <c r="G109" s="86">
        <f t="shared" si="12"/>
        <v>373</v>
      </c>
      <c r="H109" s="85">
        <v>720</v>
      </c>
      <c r="I109" s="86">
        <f>6.9*(1.5^$Q$50)</f>
        <v>6.9</v>
      </c>
      <c r="J109" s="86">
        <f t="shared" si="13"/>
        <v>1203</v>
      </c>
      <c r="K109" s="85">
        <v>420</v>
      </c>
      <c r="L109" s="86">
        <f>23*(1.5^$Q$50)</f>
        <v>23</v>
      </c>
      <c r="M109" s="86">
        <f t="shared" si="14"/>
        <v>2030</v>
      </c>
      <c r="N109" s="8" t="s">
        <v>204</v>
      </c>
      <c r="O109" s="8" t="s">
        <v>249</v>
      </c>
    </row>
    <row r="110" spans="1:15">
      <c r="A110" s="19" t="s">
        <v>289</v>
      </c>
      <c r="B110" s="20" t="s">
        <v>21</v>
      </c>
      <c r="C110" s="10" t="s">
        <v>149</v>
      </c>
      <c r="D110" s="84">
        <v>70</v>
      </c>
      <c r="E110" s="85">
        <v>630</v>
      </c>
      <c r="F110" s="92">
        <f>9.7*(1.5^$Q$50)</f>
        <v>9.7</v>
      </c>
      <c r="G110" s="86">
        <f t="shared" si="12"/>
        <v>1309</v>
      </c>
      <c r="H110" s="85">
        <v>120</v>
      </c>
      <c r="I110" s="86">
        <f>0.3*(1.5^$Q$50)</f>
        <v>0.3</v>
      </c>
      <c r="J110" s="86">
        <f t="shared" si="13"/>
        <v>141</v>
      </c>
      <c r="K110" s="85">
        <v>525</v>
      </c>
      <c r="L110" s="86">
        <f>24*(1.5^$Q$50)</f>
        <v>24</v>
      </c>
      <c r="M110" s="86">
        <f t="shared" si="14"/>
        <v>2205</v>
      </c>
      <c r="N110" s="8" t="s">
        <v>271</v>
      </c>
      <c r="O110" s="8" t="s">
        <v>161</v>
      </c>
    </row>
    <row r="111" spans="1:15">
      <c r="A111" s="19" t="s">
        <v>290</v>
      </c>
      <c r="B111" s="24" t="s">
        <v>16</v>
      </c>
      <c r="C111" s="10" t="s">
        <v>140</v>
      </c>
      <c r="D111" s="84">
        <v>70</v>
      </c>
      <c r="E111" s="85">
        <v>90</v>
      </c>
      <c r="F111" s="86">
        <f>0.5*(1.5^$Q$50)</f>
        <v>0.5</v>
      </c>
      <c r="G111" s="86">
        <f t="shared" si="12"/>
        <v>125</v>
      </c>
      <c r="H111" s="85">
        <v>630</v>
      </c>
      <c r="I111" s="92">
        <f>11.2*(1.5^$Q$50)</f>
        <v>11.2</v>
      </c>
      <c r="J111" s="86">
        <f t="shared" si="13"/>
        <v>1414</v>
      </c>
      <c r="K111" s="85">
        <v>555</v>
      </c>
      <c r="L111" s="86">
        <f>18*(1.5^$Q$50)</f>
        <v>18</v>
      </c>
      <c r="M111" s="86">
        <f t="shared" si="14"/>
        <v>1815</v>
      </c>
      <c r="N111" s="8" t="s">
        <v>291</v>
      </c>
      <c r="O111" s="8" t="s">
        <v>292</v>
      </c>
    </row>
    <row r="112" spans="1:15">
      <c r="A112" s="19" t="s">
        <v>293</v>
      </c>
      <c r="B112" s="20" t="s">
        <v>21</v>
      </c>
      <c r="C112" s="10" t="s">
        <v>149</v>
      </c>
      <c r="D112" s="84">
        <v>70</v>
      </c>
      <c r="E112" s="85">
        <v>585</v>
      </c>
      <c r="F112" s="88">
        <f>9.4*(1.5^$Q$50)</f>
        <v>9.4</v>
      </c>
      <c r="G112" s="86">
        <f t="shared" si="12"/>
        <v>1243</v>
      </c>
      <c r="H112" s="85">
        <v>120</v>
      </c>
      <c r="I112" s="86">
        <f>0.3*(1.5^$Q$50)</f>
        <v>0.3</v>
      </c>
      <c r="J112" s="86">
        <f t="shared" si="13"/>
        <v>141</v>
      </c>
      <c r="K112" s="85">
        <v>570</v>
      </c>
      <c r="L112" s="86">
        <f>25*(1.5^$Q$50)</f>
        <v>25</v>
      </c>
      <c r="M112" s="86">
        <f t="shared" si="14"/>
        <v>2320</v>
      </c>
      <c r="N112" s="8" t="s">
        <v>294</v>
      </c>
      <c r="O112" s="8" t="s">
        <v>230</v>
      </c>
    </row>
    <row r="113" spans="1:17">
      <c r="A113" s="19" t="s">
        <v>295</v>
      </c>
      <c r="B113" s="24" t="s">
        <v>16</v>
      </c>
      <c r="C113" s="10" t="s">
        <v>140</v>
      </c>
      <c r="D113" s="84">
        <v>70</v>
      </c>
      <c r="E113" s="85">
        <v>165</v>
      </c>
      <c r="F113" s="86">
        <f>2.2*(1.5^$Q$50)</f>
        <v>2.2</v>
      </c>
      <c r="G113" s="86">
        <f t="shared" si="12"/>
        <v>319</v>
      </c>
      <c r="H113" s="85">
        <v>690</v>
      </c>
      <c r="I113" s="90">
        <f>10.1*(1.5^$Q$50)</f>
        <v>10.1</v>
      </c>
      <c r="J113" s="86">
        <f t="shared" si="13"/>
        <v>1397</v>
      </c>
      <c r="K113" s="85">
        <v>420</v>
      </c>
      <c r="L113" s="86">
        <f>17*(1.5^$Q$50)</f>
        <v>17</v>
      </c>
      <c r="M113" s="86">
        <f t="shared" si="14"/>
        <v>1610</v>
      </c>
      <c r="N113" s="8" t="s">
        <v>147</v>
      </c>
      <c r="O113" s="8" t="s">
        <v>47</v>
      </c>
    </row>
    <row r="114" spans="1:17">
      <c r="A114" s="31" t="s">
        <v>296</v>
      </c>
      <c r="B114" s="23" t="s">
        <v>26</v>
      </c>
      <c r="C114" s="10" t="s">
        <v>82</v>
      </c>
      <c r="D114" s="84">
        <v>70</v>
      </c>
      <c r="E114" s="85">
        <v>699</v>
      </c>
      <c r="F114" s="86">
        <f>30.6*(1.5^$Q$50)</f>
        <v>30.6</v>
      </c>
      <c r="G114" s="86">
        <f t="shared" si="12"/>
        <v>2841</v>
      </c>
      <c r="H114" s="85">
        <v>80</v>
      </c>
      <c r="I114" s="86">
        <f>30.6*(1.5^$Q$50)</f>
        <v>30.6</v>
      </c>
      <c r="J114" s="86">
        <f t="shared" si="13"/>
        <v>2222</v>
      </c>
      <c r="K114" s="85">
        <v>1666</v>
      </c>
      <c r="L114" s="86">
        <f>102*(1.5^$Q$50)</f>
        <v>102</v>
      </c>
      <c r="M114" s="86">
        <f t="shared" si="14"/>
        <v>8806</v>
      </c>
      <c r="N114" s="8" t="s">
        <v>297</v>
      </c>
      <c r="O114" s="8" t="s">
        <v>298</v>
      </c>
      <c r="Q114" t="s">
        <v>299</v>
      </c>
    </row>
    <row r="115" spans="1:17">
      <c r="A115" s="31" t="s">
        <v>300</v>
      </c>
      <c r="B115" s="28" t="s">
        <v>30</v>
      </c>
      <c r="C115" s="10" t="s">
        <v>31</v>
      </c>
      <c r="D115" s="84">
        <v>70</v>
      </c>
      <c r="E115" s="85">
        <v>125</v>
      </c>
      <c r="F115" s="86">
        <f>2.2*(1.5^$Q$50)</f>
        <v>2.2</v>
      </c>
      <c r="G115" s="86">
        <f t="shared" si="12"/>
        <v>279</v>
      </c>
      <c r="H115" s="85">
        <v>1250</v>
      </c>
      <c r="I115" s="86">
        <f>17.1*(1.5^$Q$50)</f>
        <v>17.1</v>
      </c>
      <c r="J115" s="86">
        <f t="shared" si="13"/>
        <v>2447</v>
      </c>
      <c r="K115" s="85">
        <v>900</v>
      </c>
      <c r="L115" s="86">
        <f>12*(1.5^$Q$50)</f>
        <v>12</v>
      </c>
      <c r="M115" s="86">
        <f t="shared" si="14"/>
        <v>1740</v>
      </c>
      <c r="N115" s="8" t="s">
        <v>301</v>
      </c>
      <c r="O115" s="8" t="s">
        <v>302</v>
      </c>
    </row>
    <row r="116" spans="1:17">
      <c r="A116" s="31" t="s">
        <v>303</v>
      </c>
      <c r="B116" s="28" t="s">
        <v>30</v>
      </c>
      <c r="C116" s="10" t="s">
        <v>31</v>
      </c>
      <c r="D116" s="84">
        <v>70</v>
      </c>
      <c r="E116" s="85">
        <v>75</v>
      </c>
      <c r="F116" s="86">
        <f>2.2*(1.5^$Q$50)</f>
        <v>2.2</v>
      </c>
      <c r="G116" s="86">
        <f t="shared" si="12"/>
        <v>229</v>
      </c>
      <c r="H116" s="85">
        <v>1250</v>
      </c>
      <c r="I116" s="86">
        <f>17.1*(1.5^$Q$50)</f>
        <v>17.1</v>
      </c>
      <c r="J116" s="86">
        <f t="shared" si="13"/>
        <v>2447</v>
      </c>
      <c r="K116" s="85">
        <v>1025</v>
      </c>
      <c r="L116" s="86">
        <f>12*(1.5^$Q$50)</f>
        <v>12</v>
      </c>
      <c r="M116" s="86">
        <f t="shared" si="14"/>
        <v>1865</v>
      </c>
      <c r="N116" s="8" t="s">
        <v>304</v>
      </c>
      <c r="O116" s="8" t="s">
        <v>50</v>
      </c>
    </row>
    <row r="117" spans="1:17">
      <c r="A117" s="31" t="s">
        <v>305</v>
      </c>
      <c r="B117" s="20" t="s">
        <v>21</v>
      </c>
      <c r="C117" s="10" t="s">
        <v>31</v>
      </c>
      <c r="D117" s="84">
        <v>70</v>
      </c>
      <c r="E117" s="85">
        <v>666</v>
      </c>
      <c r="F117" s="86">
        <f>9.9*(1.5^$Q$50)</f>
        <v>9.9</v>
      </c>
      <c r="G117" s="86">
        <f t="shared" si="12"/>
        <v>1359</v>
      </c>
      <c r="H117" s="85">
        <v>35</v>
      </c>
      <c r="I117" s="86">
        <f>1.1*(1.5^$Q$50)</f>
        <v>1.1</v>
      </c>
      <c r="J117" s="86">
        <f t="shared" si="13"/>
        <v>112</v>
      </c>
      <c r="K117" s="85">
        <v>2180</v>
      </c>
      <c r="L117" s="86">
        <f>44*(1.5^$Q$50)</f>
        <v>44</v>
      </c>
      <c r="M117" s="86">
        <f t="shared" si="14"/>
        <v>5260</v>
      </c>
      <c r="N117" s="8" t="s">
        <v>306</v>
      </c>
      <c r="O117" s="8" t="s">
        <v>307</v>
      </c>
    </row>
    <row r="118" spans="1:17">
      <c r="A118" s="31" t="s">
        <v>308</v>
      </c>
      <c r="B118" s="20" t="s">
        <v>21</v>
      </c>
      <c r="C118" s="10" t="s">
        <v>31</v>
      </c>
      <c r="D118" s="84">
        <v>70</v>
      </c>
      <c r="E118" s="85">
        <v>1175</v>
      </c>
      <c r="F118" s="86">
        <f>18*(1.5^$Q$50)</f>
        <v>18</v>
      </c>
      <c r="G118" s="86">
        <f t="shared" si="12"/>
        <v>2435</v>
      </c>
      <c r="H118" s="85">
        <v>25</v>
      </c>
      <c r="I118" s="86">
        <f>0.3*(1.5^$Q$50)</f>
        <v>0.3</v>
      </c>
      <c r="J118" s="86">
        <f t="shared" si="13"/>
        <v>46</v>
      </c>
      <c r="K118" s="85">
        <v>1025</v>
      </c>
      <c r="L118" s="86">
        <f>27*(1.5^$Q$50)</f>
        <v>27</v>
      </c>
      <c r="M118" s="86">
        <f t="shared" si="14"/>
        <v>2915</v>
      </c>
      <c r="N118" s="8" t="s">
        <v>105</v>
      </c>
      <c r="O118" s="8" t="s">
        <v>106</v>
      </c>
    </row>
    <row r="119" spans="1:17">
      <c r="A119" s="33" t="s">
        <v>309</v>
      </c>
      <c r="B119" s="28" t="s">
        <v>30</v>
      </c>
      <c r="C119" s="10" t="s">
        <v>82</v>
      </c>
      <c r="D119" s="84">
        <v>70</v>
      </c>
      <c r="E119" s="85">
        <v>95</v>
      </c>
      <c r="F119" s="86">
        <f>5*(1.5^$Q$50)</f>
        <v>5</v>
      </c>
      <c r="G119" s="86">
        <f t="shared" si="12"/>
        <v>445</v>
      </c>
      <c r="H119" s="85">
        <v>170</v>
      </c>
      <c r="I119" s="86">
        <f>8.3*(1.5^$Q$50)</f>
        <v>8.3</v>
      </c>
      <c r="J119" s="86">
        <f t="shared" si="13"/>
        <v>751</v>
      </c>
      <c r="K119" s="85">
        <v>160</v>
      </c>
      <c r="L119" s="86">
        <f>14*(1.5^$Q$50)</f>
        <v>14</v>
      </c>
      <c r="M119" s="86">
        <f t="shared" si="14"/>
        <v>1140</v>
      </c>
      <c r="N119" s="8" t="s">
        <v>310</v>
      </c>
      <c r="O119" s="8" t="s">
        <v>311</v>
      </c>
    </row>
    <row r="120" spans="1:17">
      <c r="A120" s="19" t="s">
        <v>312</v>
      </c>
      <c r="B120" s="23" t="s">
        <v>26</v>
      </c>
      <c r="C120" s="10" t="s">
        <v>120</v>
      </c>
      <c r="D120" s="84">
        <v>70</v>
      </c>
      <c r="E120" s="85">
        <v>525</v>
      </c>
      <c r="F120" s="86">
        <f>6.5*(1.5^$Q$50)</f>
        <v>6.5</v>
      </c>
      <c r="G120" s="86">
        <f t="shared" si="12"/>
        <v>980</v>
      </c>
      <c r="H120" s="85">
        <v>90</v>
      </c>
      <c r="I120" s="86">
        <f>2.2*(1.5^$Q$50)</f>
        <v>2.2</v>
      </c>
      <c r="J120" s="86">
        <f t="shared" si="13"/>
        <v>244</v>
      </c>
      <c r="K120" s="85">
        <v>660</v>
      </c>
      <c r="L120" s="86">
        <f>28*(1.5^$Q$50)</f>
        <v>28</v>
      </c>
      <c r="M120" s="86">
        <f t="shared" si="14"/>
        <v>2620</v>
      </c>
      <c r="N120" s="8" t="s">
        <v>313</v>
      </c>
      <c r="O120" s="8" t="s">
        <v>182</v>
      </c>
    </row>
    <row r="121" spans="1:17">
      <c r="A121" s="19" t="s">
        <v>314</v>
      </c>
      <c r="B121" s="28" t="s">
        <v>30</v>
      </c>
      <c r="C121" s="10" t="s">
        <v>149</v>
      </c>
      <c r="D121" s="84">
        <v>70</v>
      </c>
      <c r="E121" s="85">
        <v>240</v>
      </c>
      <c r="F121" s="86">
        <f>3.4*(1.5^$Q$50)</f>
        <v>3.4</v>
      </c>
      <c r="G121" s="86">
        <f t="shared" si="12"/>
        <v>478</v>
      </c>
      <c r="H121" s="85">
        <v>675</v>
      </c>
      <c r="I121" s="86">
        <f>9.4*(1.5^$Q$50)</f>
        <v>9.4</v>
      </c>
      <c r="J121" s="86">
        <f t="shared" si="13"/>
        <v>1333</v>
      </c>
      <c r="K121" s="85">
        <v>360</v>
      </c>
      <c r="L121" s="86">
        <f>17*(1.5^$Q$50)</f>
        <v>17</v>
      </c>
      <c r="M121" s="86">
        <f t="shared" si="14"/>
        <v>1550</v>
      </c>
      <c r="N121" s="8" t="s">
        <v>163</v>
      </c>
      <c r="O121" s="8" t="s">
        <v>137</v>
      </c>
    </row>
    <row r="122" spans="1:17">
      <c r="A122" s="19" t="s">
        <v>315</v>
      </c>
      <c r="B122" s="24" t="s">
        <v>16</v>
      </c>
      <c r="C122" s="10" t="s">
        <v>149</v>
      </c>
      <c r="D122" s="84">
        <v>70</v>
      </c>
      <c r="E122" s="85">
        <v>150</v>
      </c>
      <c r="F122" s="86">
        <f>2.5*(1.5^$Q$50)</f>
        <v>2.5</v>
      </c>
      <c r="G122" s="86">
        <f t="shared" si="12"/>
        <v>325</v>
      </c>
      <c r="H122" s="85">
        <v>750</v>
      </c>
      <c r="I122" s="86">
        <f>9.5*(1.5^$Q$50)</f>
        <v>9.5</v>
      </c>
      <c r="J122" s="86">
        <f t="shared" si="13"/>
        <v>1415</v>
      </c>
      <c r="K122" s="85">
        <v>375</v>
      </c>
      <c r="L122" s="86">
        <f>18*(1.5^$Q$50)</f>
        <v>18</v>
      </c>
      <c r="M122" s="86">
        <f t="shared" si="14"/>
        <v>1635</v>
      </c>
      <c r="N122" s="8" t="s">
        <v>316</v>
      </c>
      <c r="O122" s="8" t="s">
        <v>168</v>
      </c>
    </row>
    <row r="123" spans="1:17">
      <c r="A123" s="19" t="s">
        <v>317</v>
      </c>
      <c r="B123" s="24" t="s">
        <v>16</v>
      </c>
      <c r="C123" s="10" t="s">
        <v>120</v>
      </c>
      <c r="D123" s="84">
        <v>70</v>
      </c>
      <c r="E123" s="85">
        <v>25</v>
      </c>
      <c r="F123" s="86">
        <f>0.5*(1.5^$Q$50)</f>
        <v>0.5</v>
      </c>
      <c r="G123" s="86">
        <f t="shared" si="12"/>
        <v>60</v>
      </c>
      <c r="H123" s="85">
        <v>765</v>
      </c>
      <c r="I123" s="91">
        <f>13.5*(1.5^$Q$50)</f>
        <v>13.5</v>
      </c>
      <c r="J123" s="86">
        <f t="shared" si="13"/>
        <v>1710</v>
      </c>
      <c r="K123" s="85">
        <v>485</v>
      </c>
      <c r="L123" s="86">
        <f>15*(1.5^$Q$50)</f>
        <v>15</v>
      </c>
      <c r="M123" s="86">
        <f t="shared" si="14"/>
        <v>1535</v>
      </c>
      <c r="N123" s="8" t="s">
        <v>318</v>
      </c>
      <c r="O123" s="8" t="s">
        <v>64</v>
      </c>
    </row>
    <row r="124" spans="1:17">
      <c r="A124" s="19" t="s">
        <v>319</v>
      </c>
      <c r="B124" s="23" t="s">
        <v>26</v>
      </c>
      <c r="C124" s="10" t="s">
        <v>140</v>
      </c>
      <c r="D124" s="84">
        <v>70</v>
      </c>
      <c r="E124" s="85">
        <v>410</v>
      </c>
      <c r="F124" s="86">
        <f>5.5*(1.5^$Q$50)</f>
        <v>5.5</v>
      </c>
      <c r="G124" s="86">
        <f t="shared" si="12"/>
        <v>795</v>
      </c>
      <c r="H124" s="85">
        <v>15</v>
      </c>
      <c r="I124" s="86">
        <f>0.9*(1.5^$Q$50)</f>
        <v>0.9</v>
      </c>
      <c r="J124" s="86">
        <f t="shared" si="13"/>
        <v>78</v>
      </c>
      <c r="K124" s="85">
        <v>850</v>
      </c>
      <c r="L124" s="91">
        <f>46*(1.5^$Q$50)</f>
        <v>46</v>
      </c>
      <c r="M124" s="86">
        <f t="shared" si="14"/>
        <v>4070</v>
      </c>
      <c r="N124" s="8" t="s">
        <v>141</v>
      </c>
      <c r="O124" s="8" t="s">
        <v>320</v>
      </c>
    </row>
    <row r="125" spans="1:17">
      <c r="A125" s="19" t="s">
        <v>321</v>
      </c>
      <c r="B125" s="23" t="s">
        <v>26</v>
      </c>
      <c r="C125" s="10" t="s">
        <v>140</v>
      </c>
      <c r="D125" s="84">
        <v>70</v>
      </c>
      <c r="E125" s="85">
        <v>405</v>
      </c>
      <c r="F125" s="86">
        <f>8.2*(1.5^$Q$50)</f>
        <v>8.2</v>
      </c>
      <c r="G125" s="86">
        <f t="shared" si="12"/>
        <v>979</v>
      </c>
      <c r="H125" s="85">
        <v>20</v>
      </c>
      <c r="I125" s="86">
        <f>0.1*(1.5^$Q$50)</f>
        <v>0.1</v>
      </c>
      <c r="J125" s="86">
        <f t="shared" si="13"/>
        <v>27</v>
      </c>
      <c r="K125" s="85">
        <v>850</v>
      </c>
      <c r="L125" s="88">
        <f>33*(1.5^$Q$50)</f>
        <v>33</v>
      </c>
      <c r="M125" s="86">
        <f t="shared" si="14"/>
        <v>3160</v>
      </c>
      <c r="N125" s="8" t="s">
        <v>322</v>
      </c>
      <c r="O125" s="8" t="s">
        <v>323</v>
      </c>
    </row>
    <row r="126" spans="1:17">
      <c r="A126" s="19" t="s">
        <v>324</v>
      </c>
      <c r="B126" s="23" t="s">
        <v>26</v>
      </c>
      <c r="C126" s="10" t="s">
        <v>149</v>
      </c>
      <c r="D126" s="84">
        <v>70</v>
      </c>
      <c r="E126" s="85">
        <v>375</v>
      </c>
      <c r="F126" s="86">
        <f>6.5*(1.5^$Q$50)</f>
        <v>6.5</v>
      </c>
      <c r="G126" s="86">
        <f t="shared" si="12"/>
        <v>830</v>
      </c>
      <c r="H126" s="85">
        <v>30</v>
      </c>
      <c r="I126" s="86">
        <f>1.2*(1.5^$Q$50)</f>
        <v>1.2</v>
      </c>
      <c r="J126" s="86">
        <f t="shared" si="13"/>
        <v>114</v>
      </c>
      <c r="K126" s="85">
        <v>870</v>
      </c>
      <c r="L126" s="86">
        <f>31*(1.5^$Q$50)</f>
        <v>31</v>
      </c>
      <c r="M126" s="86">
        <f t="shared" si="14"/>
        <v>3040</v>
      </c>
      <c r="N126" s="8" t="s">
        <v>159</v>
      </c>
      <c r="O126" s="8" t="s">
        <v>182</v>
      </c>
    </row>
    <row r="127" spans="1:17">
      <c r="A127" s="19" t="s">
        <v>325</v>
      </c>
      <c r="B127" s="24" t="s">
        <v>16</v>
      </c>
      <c r="C127" s="10" t="s">
        <v>82</v>
      </c>
      <c r="N127" s="8" t="s">
        <v>234</v>
      </c>
      <c r="O127" s="8" t="s">
        <v>90</v>
      </c>
    </row>
    <row r="128" spans="1:17">
      <c r="A128" s="34" t="s">
        <v>326</v>
      </c>
      <c r="B128" s="24" t="s">
        <v>16</v>
      </c>
      <c r="C128" s="10" t="s">
        <v>82</v>
      </c>
      <c r="D128" s="84">
        <v>70</v>
      </c>
      <c r="E128" s="85">
        <v>88</v>
      </c>
      <c r="F128" s="86">
        <f>4.3*(1.5^$Q$50)</f>
        <v>4.3</v>
      </c>
      <c r="G128" s="86">
        <f>E128+D128*F128</f>
        <v>389</v>
      </c>
      <c r="H128" s="85">
        <v>392</v>
      </c>
      <c r="I128" s="86">
        <f>9.4*(1.5^$Q$50)</f>
        <v>9.4</v>
      </c>
      <c r="J128" s="86">
        <f>H128+I128*D128</f>
        <v>1050</v>
      </c>
      <c r="K128" s="85">
        <v>200</v>
      </c>
      <c r="L128" s="86">
        <f>13*(1.5^$Q$50)</f>
        <v>13</v>
      </c>
      <c r="M128" s="86">
        <f>K128+L128*D128</f>
        <v>1110</v>
      </c>
      <c r="N128" s="8" t="s">
        <v>174</v>
      </c>
      <c r="O128" s="8" t="s">
        <v>169</v>
      </c>
    </row>
    <row r="129" spans="1:15">
      <c r="A129" s="19" t="s">
        <v>327</v>
      </c>
      <c r="B129" s="20" t="s">
        <v>21</v>
      </c>
      <c r="C129" s="10" t="s">
        <v>120</v>
      </c>
      <c r="D129" s="84">
        <v>70</v>
      </c>
      <c r="E129" s="85">
        <v>506</v>
      </c>
      <c r="F129" s="86">
        <f>7.7*(1.5^$Q$50)</f>
        <v>7.7</v>
      </c>
      <c r="G129" s="86">
        <f>E129+D129*F129</f>
        <v>1045</v>
      </c>
      <c r="H129" s="85">
        <v>23</v>
      </c>
      <c r="I129" s="86">
        <f>0.7*(1.5^$Q$50)</f>
        <v>0.7</v>
      </c>
      <c r="J129" s="86">
        <f>H129+I129*D129</f>
        <v>72</v>
      </c>
      <c r="K129" s="85">
        <v>890</v>
      </c>
      <c r="L129" s="90">
        <f>34.1*(1.5^$Q$50)</f>
        <v>34.1</v>
      </c>
      <c r="M129" s="86">
        <f>K129+L129*D129</f>
        <v>3277</v>
      </c>
      <c r="N129" s="8" t="s">
        <v>236</v>
      </c>
      <c r="O129" s="8" t="s">
        <v>328</v>
      </c>
    </row>
    <row r="130" spans="1:15">
      <c r="A130" s="19" t="s">
        <v>329</v>
      </c>
      <c r="B130" s="23" t="s">
        <v>26</v>
      </c>
      <c r="C130" s="10" t="s">
        <v>149</v>
      </c>
      <c r="D130" s="84">
        <v>70</v>
      </c>
      <c r="E130" s="85">
        <v>330</v>
      </c>
      <c r="F130" s="86">
        <f>7.5*(1.5^$Q$50)</f>
        <v>7.5</v>
      </c>
      <c r="G130" s="86">
        <f>E130+D130*F130</f>
        <v>855</v>
      </c>
      <c r="H130" s="85">
        <v>225</v>
      </c>
      <c r="I130" s="86">
        <f>2.5*(1.5^$Q$50)</f>
        <v>2.5</v>
      </c>
      <c r="J130" s="86">
        <f>H130+I130*D130</f>
        <v>400</v>
      </c>
      <c r="K130" s="85">
        <v>720</v>
      </c>
      <c r="L130" s="86">
        <f>24*(1.5^$Q$50)</f>
        <v>24</v>
      </c>
      <c r="M130" s="86">
        <f>K130+L130*D130</f>
        <v>2400</v>
      </c>
      <c r="N130" s="8" t="s">
        <v>182</v>
      </c>
      <c r="O130" s="8" t="s">
        <v>262</v>
      </c>
    </row>
    <row r="131" spans="1:15">
      <c r="A131" s="19" t="s">
        <v>330</v>
      </c>
      <c r="B131" s="23" t="s">
        <v>26</v>
      </c>
      <c r="C131" s="10" t="s">
        <v>149</v>
      </c>
      <c r="D131" s="84">
        <v>70</v>
      </c>
      <c r="E131" s="85">
        <v>525</v>
      </c>
      <c r="F131" s="91">
        <f>10*(1.5^$Q$50)</f>
        <v>10</v>
      </c>
      <c r="G131" s="86">
        <f>E131+D131*F131</f>
        <v>1225</v>
      </c>
      <c r="H131" s="85">
        <v>150</v>
      </c>
      <c r="I131" s="86">
        <f>0.1*(1.5^$Q$50)</f>
        <v>0.1</v>
      </c>
      <c r="J131" s="86">
        <f>H131+I131*D131</f>
        <v>157</v>
      </c>
      <c r="K131" s="85">
        <v>765</v>
      </c>
      <c r="L131" s="86">
        <f>30*(1.5^$Q$50)</f>
        <v>30</v>
      </c>
      <c r="M131" s="86">
        <f>K131+L131*D131</f>
        <v>2865</v>
      </c>
      <c r="N131" s="8" t="s">
        <v>331</v>
      </c>
      <c r="O131" s="8" t="s">
        <v>182</v>
      </c>
    </row>
    <row r="132" spans="1:15">
      <c r="A132" s="19" t="s">
        <v>332</v>
      </c>
      <c r="B132" s="24" t="s">
        <v>16</v>
      </c>
      <c r="C132" s="10" t="s">
        <v>124</v>
      </c>
      <c r="D132" s="84">
        <v>70</v>
      </c>
      <c r="E132" s="85">
        <v>69</v>
      </c>
      <c r="F132" s="86">
        <f>0.5*(1.5^$Q$50)</f>
        <v>0.5</v>
      </c>
      <c r="G132" s="86">
        <f>E132+D132*F132</f>
        <v>104</v>
      </c>
      <c r="H132" s="85">
        <v>702</v>
      </c>
      <c r="I132" s="86">
        <f>8.7*(1.5^$Q$50)</f>
        <v>8.7</v>
      </c>
      <c r="J132" s="86">
        <f>H132+I132*D132</f>
        <v>1311</v>
      </c>
      <c r="K132" s="85">
        <v>490</v>
      </c>
      <c r="L132" s="91">
        <f>33*(1.5^$Q$50)</f>
        <v>33</v>
      </c>
      <c r="M132" s="86">
        <f>K132+L132*D132</f>
        <v>2800</v>
      </c>
      <c r="N132" s="8" t="s">
        <v>333</v>
      </c>
      <c r="O132" s="8" t="s">
        <v>334</v>
      </c>
    </row>
    <row r="133" spans="1:15">
      <c r="A133" s="19" t="s">
        <v>335</v>
      </c>
      <c r="B133" s="23" t="s">
        <v>26</v>
      </c>
      <c r="C133" s="10"/>
      <c r="F133" s="91"/>
      <c r="N133" s="8" t="s">
        <v>90</v>
      </c>
      <c r="O133" s="8" t="s">
        <v>141</v>
      </c>
    </row>
    <row r="134" spans="1:15">
      <c r="A134" s="19" t="s">
        <v>336</v>
      </c>
      <c r="B134" s="20" t="s">
        <v>21</v>
      </c>
      <c r="C134" s="10" t="s">
        <v>124</v>
      </c>
      <c r="D134" s="84">
        <v>70</v>
      </c>
      <c r="E134" s="85">
        <v>450</v>
      </c>
      <c r="F134" s="91">
        <f>9.9*(1.5^$Q$50)</f>
        <v>9.9</v>
      </c>
      <c r="G134" s="86">
        <f>E134+D134*F134</f>
        <v>1143</v>
      </c>
      <c r="H134" s="85">
        <v>5</v>
      </c>
      <c r="I134" s="86">
        <f>0.4*(1.5^$Q$50)</f>
        <v>0.4</v>
      </c>
      <c r="J134" s="86">
        <f>H134+I134*D134</f>
        <v>33</v>
      </c>
      <c r="K134" s="85">
        <v>820</v>
      </c>
      <c r="L134" s="86">
        <f>22*(1.5^$Q$50)</f>
        <v>22</v>
      </c>
      <c r="M134" s="86">
        <f>K134+L134*D134</f>
        <v>2360</v>
      </c>
      <c r="N134" s="8" t="s">
        <v>141</v>
      </c>
      <c r="O134" s="8" t="s">
        <v>337</v>
      </c>
    </row>
    <row r="135" spans="1:15">
      <c r="A135" s="19" t="s">
        <v>338</v>
      </c>
      <c r="B135" s="23" t="s">
        <v>26</v>
      </c>
      <c r="C135" s="10" t="s">
        <v>140</v>
      </c>
      <c r="D135" s="84">
        <v>70</v>
      </c>
      <c r="E135" s="85">
        <v>345</v>
      </c>
      <c r="F135" s="86">
        <f>4.3*(1.5^$Q$50)</f>
        <v>4.3</v>
      </c>
      <c r="G135" s="86">
        <f>E135+D135*F135</f>
        <v>646</v>
      </c>
      <c r="H135" s="85">
        <v>20</v>
      </c>
      <c r="I135" s="86">
        <f>0.4*(1.5^$Q$50)</f>
        <v>0.4</v>
      </c>
      <c r="J135" s="86">
        <f>H135+I135*D135</f>
        <v>48</v>
      </c>
      <c r="K135" s="85">
        <v>1080</v>
      </c>
      <c r="L135" s="89">
        <f>40*(1.5^$Q$50)</f>
        <v>40</v>
      </c>
      <c r="M135" s="86">
        <f>K135+L135*D135</f>
        <v>3880</v>
      </c>
      <c r="N135" s="8" t="s">
        <v>339</v>
      </c>
      <c r="O135" s="8" t="s">
        <v>182</v>
      </c>
    </row>
    <row r="136" spans="1:15">
      <c r="A136" s="19" t="s">
        <v>340</v>
      </c>
      <c r="B136" s="20" t="s">
        <v>21</v>
      </c>
      <c r="C136" s="10" t="s">
        <v>124</v>
      </c>
      <c r="D136" s="84">
        <v>70</v>
      </c>
      <c r="E136" s="85">
        <v>675</v>
      </c>
      <c r="F136" s="91">
        <f>9.9*(1.5^$Q$50)</f>
        <v>9.9</v>
      </c>
      <c r="G136" s="86">
        <f>E136+D136*F136</f>
        <v>1368</v>
      </c>
      <c r="H136" s="85">
        <v>105</v>
      </c>
      <c r="I136" s="86">
        <f>0.4*(1.5^$Q$50)</f>
        <v>0.4</v>
      </c>
      <c r="J136" s="86">
        <f>H136+I136*D136</f>
        <v>133</v>
      </c>
      <c r="K136" s="85">
        <v>495</v>
      </c>
      <c r="L136" s="86">
        <f>23*(1.5^$Q$50)</f>
        <v>23</v>
      </c>
      <c r="M136" s="86">
        <f>K136+L136*D136</f>
        <v>2105</v>
      </c>
      <c r="N136" s="8" t="s">
        <v>341</v>
      </c>
      <c r="O136" s="8" t="s">
        <v>342</v>
      </c>
    </row>
    <row r="137" spans="1:15">
      <c r="A137" s="19" t="s">
        <v>343</v>
      </c>
      <c r="B137" s="28" t="s">
        <v>30</v>
      </c>
      <c r="C137" s="10" t="s">
        <v>124</v>
      </c>
      <c r="D137" s="84">
        <v>70</v>
      </c>
      <c r="E137" s="85">
        <f>75</f>
        <v>75</v>
      </c>
      <c r="F137" s="86">
        <f>1*(1.5^$Q$50)</f>
        <v>1</v>
      </c>
      <c r="G137" s="86">
        <f>E137+D137*F137</f>
        <v>145</v>
      </c>
      <c r="H137" s="85">
        <v>750</v>
      </c>
      <c r="I137" s="86">
        <f>10*(1.5^$Q$50)</f>
        <v>10</v>
      </c>
      <c r="J137" s="86">
        <f>H137+I137*D137</f>
        <v>1450</v>
      </c>
      <c r="K137" s="85">
        <v>450</v>
      </c>
      <c r="L137" s="86">
        <f>21*(1.5^$Q$50)</f>
        <v>21</v>
      </c>
      <c r="M137" s="86">
        <f>K137+L137*D137</f>
        <v>1920</v>
      </c>
      <c r="N137" s="8" t="s">
        <v>138</v>
      </c>
      <c r="O137" s="8" t="s">
        <v>344</v>
      </c>
    </row>
    <row r="138" spans="1:15">
      <c r="A138" s="19" t="s">
        <v>345</v>
      </c>
      <c r="B138" s="28" t="s">
        <v>30</v>
      </c>
      <c r="C138" s="10" t="s">
        <v>140</v>
      </c>
      <c r="D138" s="84">
        <v>70</v>
      </c>
      <c r="E138" s="85">
        <v>30</v>
      </c>
      <c r="F138" s="86">
        <f>1.5*(1.5^$Q$50)</f>
        <v>1.5</v>
      </c>
      <c r="G138" s="86">
        <f t="shared" ref="G138:G200" si="15">E138+D138*F138</f>
        <v>135</v>
      </c>
      <c r="H138" s="85">
        <v>740</v>
      </c>
      <c r="I138" s="86">
        <f>9.7*(1.5^$Q$50)</f>
        <v>9.7</v>
      </c>
      <c r="J138" s="86">
        <f t="shared" ref="J138:J200" si="16">H138+I138*D138</f>
        <v>1419</v>
      </c>
      <c r="K138" s="85">
        <v>505</v>
      </c>
      <c r="L138" s="86">
        <f>25*(1.5^$Q$50)</f>
        <v>25</v>
      </c>
      <c r="M138" s="86">
        <f t="shared" ref="M138:M200" si="17">K138+L138*D138</f>
        <v>2255</v>
      </c>
      <c r="N138" s="8" t="s">
        <v>346</v>
      </c>
      <c r="O138" s="8" t="s">
        <v>347</v>
      </c>
    </row>
    <row r="139" spans="1:15">
      <c r="A139" s="19" t="s">
        <v>348</v>
      </c>
      <c r="B139" s="24" t="s">
        <v>16</v>
      </c>
      <c r="C139" s="10" t="s">
        <v>140</v>
      </c>
      <c r="D139" s="84">
        <v>70</v>
      </c>
      <c r="E139" s="85">
        <v>105</v>
      </c>
      <c r="F139" s="86">
        <f>2.3*(1.5^$Q$50)</f>
        <v>2.3</v>
      </c>
      <c r="G139" s="86">
        <f t="shared" si="15"/>
        <v>266</v>
      </c>
      <c r="H139" s="85">
        <v>555</v>
      </c>
      <c r="I139" s="86">
        <f>8.7*(1.5^$Q$50)</f>
        <v>8.7</v>
      </c>
      <c r="J139" s="86">
        <f t="shared" si="16"/>
        <v>1164</v>
      </c>
      <c r="K139" s="85">
        <v>615</v>
      </c>
      <c r="L139" s="88">
        <f>21*(1.5^$Q$50)</f>
        <v>21</v>
      </c>
      <c r="M139" s="86">
        <f t="shared" si="17"/>
        <v>2085</v>
      </c>
      <c r="N139" s="8" t="s">
        <v>47</v>
      </c>
      <c r="O139" s="8" t="s">
        <v>91</v>
      </c>
    </row>
    <row r="140" spans="1:15">
      <c r="A140" s="19" t="s">
        <v>349</v>
      </c>
      <c r="B140" s="24" t="s">
        <v>16</v>
      </c>
      <c r="C140" s="10" t="s">
        <v>149</v>
      </c>
      <c r="D140" s="84">
        <v>70</v>
      </c>
      <c r="E140" s="85">
        <v>225</v>
      </c>
      <c r="F140" s="86">
        <f>3*(1.5^$Q$50)</f>
        <v>3</v>
      </c>
      <c r="G140" s="86">
        <f t="shared" si="15"/>
        <v>435</v>
      </c>
      <c r="H140" s="85">
        <v>705</v>
      </c>
      <c r="I140" s="86">
        <f>9*(1.5^$Q$50)</f>
        <v>9</v>
      </c>
      <c r="J140" s="86">
        <f t="shared" si="16"/>
        <v>1335</v>
      </c>
      <c r="K140" s="85">
        <v>345</v>
      </c>
      <c r="L140" s="86">
        <f>17*(1.5^$Q$50)</f>
        <v>17</v>
      </c>
      <c r="M140" s="86">
        <f t="shared" si="17"/>
        <v>1535</v>
      </c>
      <c r="N140" s="8" t="s">
        <v>168</v>
      </c>
      <c r="O140" s="8" t="s">
        <v>316</v>
      </c>
    </row>
    <row r="141" spans="1:15">
      <c r="A141" s="19" t="s">
        <v>350</v>
      </c>
      <c r="B141" s="28" t="s">
        <v>30</v>
      </c>
      <c r="C141" s="10" t="s">
        <v>140</v>
      </c>
      <c r="D141" s="84">
        <v>70</v>
      </c>
      <c r="E141" s="85">
        <v>90</v>
      </c>
      <c r="F141" s="86">
        <f>3.2*(1.5^$Q$50)</f>
        <v>3.2</v>
      </c>
      <c r="G141" s="86">
        <f t="shared" si="15"/>
        <v>314</v>
      </c>
      <c r="H141" s="85">
        <v>820</v>
      </c>
      <c r="I141" s="86">
        <f>7.5*(1.5^$Q$50)</f>
        <v>7.5</v>
      </c>
      <c r="J141" s="86">
        <f t="shared" si="16"/>
        <v>1345</v>
      </c>
      <c r="K141" s="85">
        <v>550</v>
      </c>
      <c r="L141" s="86">
        <f>22*(1.5^$Q$50)</f>
        <v>22</v>
      </c>
      <c r="M141" s="86">
        <f t="shared" si="17"/>
        <v>2090</v>
      </c>
      <c r="N141" s="8" t="s">
        <v>144</v>
      </c>
      <c r="O141" s="8" t="s">
        <v>351</v>
      </c>
    </row>
    <row r="142" spans="1:15">
      <c r="A142" s="22" t="s">
        <v>352</v>
      </c>
      <c r="B142" s="23" t="s">
        <v>26</v>
      </c>
      <c r="C142" s="10" t="s">
        <v>82</v>
      </c>
      <c r="D142" s="84">
        <v>70</v>
      </c>
      <c r="E142" s="85">
        <v>20</v>
      </c>
      <c r="F142" s="86">
        <f>3.7*(1.5^$Q$50)</f>
        <v>3.7</v>
      </c>
      <c r="G142" s="86">
        <f t="shared" si="15"/>
        <v>279</v>
      </c>
      <c r="H142" s="85">
        <v>10</v>
      </c>
      <c r="I142" s="86">
        <f>1.5*(1.5^$Q$50)</f>
        <v>1.5</v>
      </c>
      <c r="J142" s="86">
        <f t="shared" si="16"/>
        <v>115</v>
      </c>
      <c r="K142" s="85">
        <v>50</v>
      </c>
      <c r="L142" s="86">
        <f>27*(1.5^$Q$50)</f>
        <v>27</v>
      </c>
      <c r="M142" s="86">
        <f t="shared" si="17"/>
        <v>1940</v>
      </c>
      <c r="N142" s="8" t="s">
        <v>353</v>
      </c>
      <c r="O142" s="8" t="s">
        <v>215</v>
      </c>
    </row>
    <row r="143" spans="1:15">
      <c r="A143" s="19" t="s">
        <v>354</v>
      </c>
      <c r="B143" s="20" t="s">
        <v>21</v>
      </c>
      <c r="C143" s="10" t="s">
        <v>149</v>
      </c>
      <c r="D143" s="84">
        <v>70</v>
      </c>
      <c r="E143" s="85">
        <v>525</v>
      </c>
      <c r="F143" s="86">
        <f>7.7*(1.5^$Q$50)</f>
        <v>7.7</v>
      </c>
      <c r="G143" s="86">
        <f t="shared" si="15"/>
        <v>1064</v>
      </c>
      <c r="H143" s="85">
        <v>225</v>
      </c>
      <c r="I143" s="86">
        <f>2*(1.5^$Q$50)</f>
        <v>2</v>
      </c>
      <c r="J143" s="86">
        <f t="shared" si="16"/>
        <v>365</v>
      </c>
      <c r="K143" s="85">
        <v>525</v>
      </c>
      <c r="L143" s="86">
        <f>25*(1.5^$Q$50)</f>
        <v>25</v>
      </c>
      <c r="M143" s="86">
        <f t="shared" si="17"/>
        <v>2275</v>
      </c>
      <c r="N143" s="8" t="s">
        <v>355</v>
      </c>
      <c r="O143" s="8" t="s">
        <v>151</v>
      </c>
    </row>
    <row r="144" spans="1:15">
      <c r="A144" s="19" t="s">
        <v>356</v>
      </c>
      <c r="B144" s="20" t="s">
        <v>21</v>
      </c>
      <c r="C144" s="10" t="s">
        <v>140</v>
      </c>
      <c r="D144" s="84">
        <v>70</v>
      </c>
      <c r="E144" s="85">
        <v>435</v>
      </c>
      <c r="F144" s="86">
        <f>7*(1.5^$Q$50)</f>
        <v>7</v>
      </c>
      <c r="G144" s="86">
        <f t="shared" si="15"/>
        <v>925</v>
      </c>
      <c r="H144" s="85">
        <v>45</v>
      </c>
      <c r="I144" s="86">
        <f>0.7*(1.5^$Q$50)</f>
        <v>0.7</v>
      </c>
      <c r="J144" s="86">
        <f t="shared" si="16"/>
        <v>94</v>
      </c>
      <c r="K144" s="85">
        <v>795</v>
      </c>
      <c r="L144" s="86">
        <f>31*(1.5^$Q$50)</f>
        <v>31</v>
      </c>
      <c r="M144" s="86">
        <f t="shared" si="17"/>
        <v>2965</v>
      </c>
      <c r="N144" s="8" t="s">
        <v>357</v>
      </c>
      <c r="O144" s="8" t="s">
        <v>274</v>
      </c>
    </row>
    <row r="145" spans="1:15">
      <c r="A145" s="19" t="s">
        <v>358</v>
      </c>
      <c r="B145" s="24" t="s">
        <v>16</v>
      </c>
      <c r="C145" s="10" t="s">
        <v>149</v>
      </c>
      <c r="D145" s="84">
        <v>70</v>
      </c>
      <c r="E145" s="85">
        <v>150</v>
      </c>
      <c r="F145" s="86">
        <f>3.9*(1.5^$Q$50)</f>
        <v>3.9</v>
      </c>
      <c r="G145" s="86">
        <f t="shared" si="15"/>
        <v>423</v>
      </c>
      <c r="H145" s="85">
        <v>705</v>
      </c>
      <c r="I145" s="86">
        <f>9.8*(1.5^$Q$50)</f>
        <v>9.8</v>
      </c>
      <c r="J145" s="86">
        <f t="shared" si="16"/>
        <v>1391</v>
      </c>
      <c r="K145" s="85">
        <v>420</v>
      </c>
      <c r="L145" s="86">
        <f>13*(1.5^$Q$50)</f>
        <v>13</v>
      </c>
      <c r="M145" s="86">
        <f t="shared" si="17"/>
        <v>1330</v>
      </c>
      <c r="N145" s="8" t="s">
        <v>262</v>
      </c>
      <c r="O145" s="8" t="s">
        <v>201</v>
      </c>
    </row>
    <row r="146" spans="1:15">
      <c r="A146" s="34" t="s">
        <v>359</v>
      </c>
      <c r="B146" s="20" t="s">
        <v>21</v>
      </c>
      <c r="C146" s="10" t="s">
        <v>82</v>
      </c>
      <c r="D146" s="84">
        <v>70</v>
      </c>
      <c r="E146" s="85">
        <v>320</v>
      </c>
      <c r="F146" s="86">
        <f>9.3*(1.5^$Q$50)</f>
        <v>9.3</v>
      </c>
      <c r="G146" s="86">
        <f t="shared" si="15"/>
        <v>971</v>
      </c>
      <c r="H146" s="85">
        <v>64</v>
      </c>
      <c r="I146" s="86">
        <f>1*(1.5^$Q$50)</f>
        <v>1</v>
      </c>
      <c r="J146" s="86">
        <f t="shared" si="16"/>
        <v>134</v>
      </c>
      <c r="K146" s="85">
        <v>296</v>
      </c>
      <c r="L146" s="86">
        <f>23*(1.5^$Q$50)</f>
        <v>23</v>
      </c>
      <c r="M146" s="86">
        <f t="shared" si="17"/>
        <v>1906</v>
      </c>
      <c r="N146" s="8" t="s">
        <v>360</v>
      </c>
      <c r="O146" s="8" t="s">
        <v>166</v>
      </c>
    </row>
    <row r="147" spans="1:15">
      <c r="A147" s="34" t="s">
        <v>361</v>
      </c>
      <c r="B147" s="24" t="s">
        <v>16</v>
      </c>
      <c r="C147" s="10" t="s">
        <v>82</v>
      </c>
      <c r="D147" s="84">
        <v>70</v>
      </c>
      <c r="E147" s="85">
        <v>120</v>
      </c>
      <c r="F147" s="86">
        <f>4.4*(1.5^$Q$50)</f>
        <v>4.4</v>
      </c>
      <c r="G147" s="86">
        <f t="shared" si="15"/>
        <v>428</v>
      </c>
      <c r="H147" s="85">
        <v>352</v>
      </c>
      <c r="I147" s="86">
        <f>8.3*(1.5^$Q$50)</f>
        <v>8.3</v>
      </c>
      <c r="J147" s="86">
        <f t="shared" si="16"/>
        <v>933</v>
      </c>
      <c r="K147" s="85">
        <v>208</v>
      </c>
      <c r="L147" s="86">
        <f>16*(1.5^$Q$50)</f>
        <v>16</v>
      </c>
      <c r="M147" s="86">
        <f t="shared" si="17"/>
        <v>1328</v>
      </c>
      <c r="N147" s="8" t="s">
        <v>175</v>
      </c>
      <c r="O147" s="8" t="s">
        <v>362</v>
      </c>
    </row>
    <row r="148" spans="1:15">
      <c r="A148" s="33" t="s">
        <v>363</v>
      </c>
      <c r="B148" s="28" t="s">
        <v>30</v>
      </c>
      <c r="C148" s="10" t="s">
        <v>82</v>
      </c>
      <c r="D148" s="84">
        <v>70</v>
      </c>
      <c r="E148" s="85">
        <v>75</v>
      </c>
      <c r="F148" s="86">
        <f>5.6*(1.5^$Q$50)</f>
        <v>5.6</v>
      </c>
      <c r="G148" s="86">
        <f t="shared" si="15"/>
        <v>467</v>
      </c>
      <c r="H148" s="85">
        <v>175</v>
      </c>
      <c r="I148" s="86">
        <f>7.4*(1.5^$Q$50)</f>
        <v>7.4</v>
      </c>
      <c r="J148" s="86">
        <f t="shared" si="16"/>
        <v>693</v>
      </c>
      <c r="K148" s="85">
        <v>175</v>
      </c>
      <c r="L148" s="86">
        <f>15*(1.5^$Q$50)</f>
        <v>15</v>
      </c>
      <c r="M148" s="86">
        <f t="shared" si="17"/>
        <v>1225</v>
      </c>
      <c r="N148" s="8" t="s">
        <v>364</v>
      </c>
      <c r="O148" s="8" t="s">
        <v>311</v>
      </c>
    </row>
    <row r="149" spans="1:15">
      <c r="A149" s="19" t="s">
        <v>365</v>
      </c>
      <c r="B149" s="20" t="s">
        <v>366</v>
      </c>
      <c r="C149" s="10" t="s">
        <v>82</v>
      </c>
      <c r="D149" s="84">
        <v>70</v>
      </c>
      <c r="E149" s="85">
        <v>506</v>
      </c>
      <c r="F149" s="86">
        <f>7.7*(1.5^$Q$50)</f>
        <v>7.7</v>
      </c>
      <c r="G149" s="86">
        <f t="shared" si="15"/>
        <v>1045</v>
      </c>
      <c r="H149" s="85">
        <v>23</v>
      </c>
      <c r="I149" s="86">
        <f>0.7*(1.5^$Q$50)</f>
        <v>0.7</v>
      </c>
      <c r="J149" s="86">
        <f t="shared" si="16"/>
        <v>72</v>
      </c>
      <c r="K149" s="85">
        <v>890</v>
      </c>
      <c r="L149" s="86">
        <f>30*(1.5^$Q$50)</f>
        <v>30</v>
      </c>
      <c r="M149" s="86">
        <f t="shared" si="17"/>
        <v>2990</v>
      </c>
      <c r="N149" s="8" t="s">
        <v>141</v>
      </c>
      <c r="O149" s="8" t="s">
        <v>151</v>
      </c>
    </row>
    <row r="150" spans="1:15">
      <c r="A150" s="19" t="s">
        <v>367</v>
      </c>
      <c r="B150" s="24" t="s">
        <v>16</v>
      </c>
      <c r="C150" s="10" t="s">
        <v>124</v>
      </c>
      <c r="D150" s="84">
        <v>70</v>
      </c>
      <c r="E150" s="85">
        <v>25</v>
      </c>
      <c r="F150" s="86">
        <f>4.2*(1.5^$Q$50)</f>
        <v>4.2</v>
      </c>
      <c r="G150" s="86">
        <f t="shared" si="15"/>
        <v>319</v>
      </c>
      <c r="H150" s="85">
        <v>790</v>
      </c>
      <c r="I150" s="86">
        <f>9.8*(1.5^$Q$50)</f>
        <v>9.8</v>
      </c>
      <c r="J150" s="86">
        <f t="shared" si="16"/>
        <v>1476</v>
      </c>
      <c r="K150" s="85">
        <v>460</v>
      </c>
      <c r="L150" s="86">
        <f>12*(1.5^$Q$50)</f>
        <v>12</v>
      </c>
      <c r="M150" s="86">
        <f t="shared" si="17"/>
        <v>1300</v>
      </c>
      <c r="N150" s="8" t="s">
        <v>201</v>
      </c>
      <c r="O150" s="8" t="s">
        <v>368</v>
      </c>
    </row>
    <row r="151" spans="1:15">
      <c r="A151" s="34" t="s">
        <v>369</v>
      </c>
      <c r="B151" s="24" t="s">
        <v>16</v>
      </c>
      <c r="C151" s="10" t="s">
        <v>82</v>
      </c>
      <c r="D151" s="84">
        <v>70</v>
      </c>
      <c r="E151" s="85">
        <v>96</v>
      </c>
      <c r="F151" s="86">
        <f>4.1*(1.5^$Q$50)</f>
        <v>4.1</v>
      </c>
      <c r="G151" s="86">
        <f t="shared" si="15"/>
        <v>383</v>
      </c>
      <c r="H151" s="85">
        <v>360</v>
      </c>
      <c r="I151" s="86">
        <f>8.9*(1.5^$Q$50)</f>
        <v>8.9</v>
      </c>
      <c r="J151" s="86">
        <f t="shared" si="16"/>
        <v>983</v>
      </c>
      <c r="K151" s="85">
        <v>224</v>
      </c>
      <c r="L151" s="86">
        <f>15*(1.5^$Q$50)</f>
        <v>15</v>
      </c>
      <c r="M151" s="86">
        <f t="shared" si="17"/>
        <v>1274</v>
      </c>
      <c r="N151" s="8" t="s">
        <v>169</v>
      </c>
      <c r="O151" s="8" t="s">
        <v>174</v>
      </c>
    </row>
    <row r="152" spans="1:15">
      <c r="A152" s="34" t="s">
        <v>370</v>
      </c>
      <c r="B152" s="24" t="s">
        <v>16</v>
      </c>
      <c r="C152" s="10" t="s">
        <v>82</v>
      </c>
      <c r="D152" s="84">
        <v>70</v>
      </c>
      <c r="E152" s="85">
        <v>224</v>
      </c>
      <c r="F152" s="86">
        <f>5.5*(1.5^$Q$50)</f>
        <v>5.5</v>
      </c>
      <c r="G152" s="86">
        <f t="shared" si="15"/>
        <v>609</v>
      </c>
      <c r="H152" s="85">
        <v>192</v>
      </c>
      <c r="I152" s="86">
        <f>5.2*(1.5^$Q$50)</f>
        <v>5.2</v>
      </c>
      <c r="J152" s="86">
        <f t="shared" si="16"/>
        <v>556</v>
      </c>
      <c r="K152" s="85">
        <v>264</v>
      </c>
      <c r="L152" s="86">
        <f>22*(1.5^$Q$50)</f>
        <v>22</v>
      </c>
      <c r="M152" s="86">
        <f t="shared" si="17"/>
        <v>1804</v>
      </c>
      <c r="N152" s="8" t="s">
        <v>174</v>
      </c>
      <c r="O152" s="8" t="s">
        <v>169</v>
      </c>
    </row>
    <row r="153" spans="1:15">
      <c r="A153" s="19" t="s">
        <v>371</v>
      </c>
      <c r="B153" s="24" t="s">
        <v>16</v>
      </c>
      <c r="C153" s="10" t="s">
        <v>140</v>
      </c>
      <c r="D153" s="84">
        <v>70</v>
      </c>
      <c r="E153" s="85">
        <v>85</v>
      </c>
      <c r="F153" s="86">
        <f>0.5*(1.5^$Q$50)</f>
        <v>0.5</v>
      </c>
      <c r="G153" s="86">
        <f t="shared" si="15"/>
        <v>120</v>
      </c>
      <c r="H153" s="85">
        <v>800</v>
      </c>
      <c r="I153" s="91">
        <f>13.5*(1.5^$Q$50)</f>
        <v>13.5</v>
      </c>
      <c r="J153" s="86">
        <f t="shared" si="16"/>
        <v>1745</v>
      </c>
      <c r="K153" s="85">
        <v>550</v>
      </c>
      <c r="L153" s="86">
        <f>15*(1.5^$Q$50)</f>
        <v>15</v>
      </c>
      <c r="M153" s="86">
        <f t="shared" si="17"/>
        <v>1600</v>
      </c>
      <c r="N153" s="8" t="s">
        <v>212</v>
      </c>
      <c r="O153" s="8" t="s">
        <v>234</v>
      </c>
    </row>
    <row r="154" spans="1:15">
      <c r="A154" s="19" t="s">
        <v>372</v>
      </c>
      <c r="B154" s="24" t="s">
        <v>16</v>
      </c>
      <c r="C154" s="10" t="s">
        <v>124</v>
      </c>
      <c r="D154" s="84">
        <v>70</v>
      </c>
      <c r="E154" s="85">
        <v>135</v>
      </c>
      <c r="F154" s="86">
        <f>3*(1.5^$Q$50)</f>
        <v>3</v>
      </c>
      <c r="G154" s="86">
        <f t="shared" si="15"/>
        <v>345</v>
      </c>
      <c r="H154" s="85">
        <v>705</v>
      </c>
      <c r="I154" s="89">
        <f>11.3*(1.5^$Q$50)</f>
        <v>11.3</v>
      </c>
      <c r="J154" s="86">
        <f t="shared" si="16"/>
        <v>1496</v>
      </c>
      <c r="K154" s="85">
        <v>435</v>
      </c>
      <c r="L154" s="86">
        <f>11*(1.5^$Q$50)</f>
        <v>11</v>
      </c>
      <c r="M154" s="86">
        <f t="shared" si="17"/>
        <v>1205</v>
      </c>
      <c r="N154" s="8" t="s">
        <v>201</v>
      </c>
      <c r="O154" s="8" t="s">
        <v>158</v>
      </c>
    </row>
    <row r="155" spans="1:15">
      <c r="A155" s="19" t="s">
        <v>373</v>
      </c>
      <c r="B155" s="28" t="s">
        <v>30</v>
      </c>
      <c r="C155" s="10" t="s">
        <v>120</v>
      </c>
      <c r="D155" s="84">
        <v>70</v>
      </c>
      <c r="E155" s="85">
        <v>75</v>
      </c>
      <c r="F155" s="86">
        <f>0.5*(1.5^$Q$50)</f>
        <v>0.5</v>
      </c>
      <c r="G155" s="86">
        <f t="shared" si="15"/>
        <v>110</v>
      </c>
      <c r="H155" s="85">
        <v>720</v>
      </c>
      <c r="I155" s="92">
        <f>11.8*(1.5^$Q$50)</f>
        <v>11.8</v>
      </c>
      <c r="J155" s="86">
        <f t="shared" si="16"/>
        <v>1546</v>
      </c>
      <c r="K155" s="85">
        <v>480</v>
      </c>
      <c r="L155" s="86">
        <f>17*(1.5^$Q$50)</f>
        <v>17</v>
      </c>
      <c r="M155" s="86">
        <f t="shared" si="17"/>
        <v>1670</v>
      </c>
      <c r="N155" s="8" t="s">
        <v>374</v>
      </c>
      <c r="O155" s="8" t="s">
        <v>137</v>
      </c>
    </row>
    <row r="156" spans="1:15">
      <c r="A156" s="19" t="s">
        <v>375</v>
      </c>
      <c r="B156" s="20" t="s">
        <v>21</v>
      </c>
      <c r="C156" s="10" t="s">
        <v>149</v>
      </c>
      <c r="D156" s="84">
        <v>70</v>
      </c>
      <c r="E156" s="85">
        <v>555</v>
      </c>
      <c r="F156" s="86">
        <f>8.7*(1.5^$Q$50)</f>
        <v>8.7</v>
      </c>
      <c r="G156" s="86">
        <f t="shared" si="15"/>
        <v>1164</v>
      </c>
      <c r="H156" s="85">
        <v>75</v>
      </c>
      <c r="I156" s="86">
        <f>0.3*(1.5^$Q$50)</f>
        <v>0.3</v>
      </c>
      <c r="J156" s="86">
        <f t="shared" si="16"/>
        <v>96</v>
      </c>
      <c r="K156" s="85">
        <v>645</v>
      </c>
      <c r="L156" s="86">
        <f>27*(1.5^$Q$50)</f>
        <v>27</v>
      </c>
      <c r="M156" s="86">
        <f t="shared" si="17"/>
        <v>2535</v>
      </c>
      <c r="N156" s="8" t="s">
        <v>376</v>
      </c>
      <c r="O156" s="8" t="s">
        <v>230</v>
      </c>
    </row>
    <row r="157" ht="15" customHeight="1" spans="1:15">
      <c r="A157" s="19" t="s">
        <v>377</v>
      </c>
      <c r="B157" s="23" t="s">
        <v>26</v>
      </c>
      <c r="C157" s="10" t="s">
        <v>149</v>
      </c>
      <c r="D157" s="84">
        <v>70</v>
      </c>
      <c r="E157" s="85">
        <v>330</v>
      </c>
      <c r="F157" s="86">
        <f>5*(1.5^$Q$50)</f>
        <v>5</v>
      </c>
      <c r="G157" s="86">
        <f t="shared" si="15"/>
        <v>680</v>
      </c>
      <c r="H157" s="85">
        <v>120</v>
      </c>
      <c r="I157" s="86">
        <f>2.7*(1.5^$Q$50)</f>
        <v>2.7</v>
      </c>
      <c r="J157" s="86">
        <f t="shared" si="16"/>
        <v>309</v>
      </c>
      <c r="K157" s="85">
        <v>825</v>
      </c>
      <c r="L157" s="86">
        <f>31*(1.5^$Q$50)</f>
        <v>31</v>
      </c>
      <c r="M157" s="86">
        <f t="shared" si="17"/>
        <v>2995</v>
      </c>
      <c r="N157" s="8" t="s">
        <v>378</v>
      </c>
      <c r="O157" s="8" t="s">
        <v>182</v>
      </c>
    </row>
    <row r="158" spans="1:15">
      <c r="A158" s="19" t="s">
        <v>379</v>
      </c>
      <c r="B158" s="20" t="s">
        <v>21</v>
      </c>
      <c r="C158" s="10" t="s">
        <v>82</v>
      </c>
      <c r="D158" s="84">
        <v>70</v>
      </c>
      <c r="E158" s="85">
        <v>506</v>
      </c>
      <c r="F158" s="86">
        <f>7.7*(1.5^$Q$50)</f>
        <v>7.7</v>
      </c>
      <c r="G158" s="86">
        <f t="shared" si="15"/>
        <v>1045</v>
      </c>
      <c r="H158" s="85">
        <v>23</v>
      </c>
      <c r="I158" s="86">
        <f>0.7*(1.5^$Q$50)</f>
        <v>0.7</v>
      </c>
      <c r="J158" s="86">
        <f t="shared" si="16"/>
        <v>72</v>
      </c>
      <c r="K158" s="85">
        <v>890</v>
      </c>
      <c r="L158" s="90">
        <f>34.1*(1.5^$Q$50)</f>
        <v>34.1</v>
      </c>
      <c r="M158" s="86">
        <f t="shared" si="17"/>
        <v>3277</v>
      </c>
      <c r="N158" s="8" t="s">
        <v>380</v>
      </c>
      <c r="O158" s="8" t="s">
        <v>91</v>
      </c>
    </row>
    <row r="159" spans="1:15">
      <c r="A159" s="22" t="s">
        <v>381</v>
      </c>
      <c r="B159" s="24" t="s">
        <v>16</v>
      </c>
      <c r="C159" s="10" t="s">
        <v>82</v>
      </c>
      <c r="D159" s="84">
        <v>70</v>
      </c>
      <c r="E159" s="85">
        <v>10</v>
      </c>
      <c r="F159" s="86">
        <f>3.5*(1.5^$Q$50)</f>
        <v>3.5</v>
      </c>
      <c r="G159" s="86">
        <f t="shared" si="15"/>
        <v>255</v>
      </c>
      <c r="H159" s="85">
        <v>25</v>
      </c>
      <c r="I159" s="86">
        <f>6.2*(1.5^$Q$50)</f>
        <v>6.2</v>
      </c>
      <c r="J159" s="86">
        <f t="shared" si="16"/>
        <v>459</v>
      </c>
      <c r="K159" s="85">
        <v>30</v>
      </c>
      <c r="L159" s="86">
        <f>12*(1.5^$Q$50)</f>
        <v>12</v>
      </c>
      <c r="M159" s="86">
        <f t="shared" si="17"/>
        <v>870</v>
      </c>
      <c r="N159" s="8" t="s">
        <v>382</v>
      </c>
      <c r="O159" s="8" t="s">
        <v>279</v>
      </c>
    </row>
    <row r="160" spans="1:15">
      <c r="A160" s="19" t="s">
        <v>383</v>
      </c>
      <c r="B160" s="28" t="s">
        <v>30</v>
      </c>
      <c r="C160" s="10" t="s">
        <v>120</v>
      </c>
      <c r="D160" s="84">
        <v>70</v>
      </c>
      <c r="E160" s="85">
        <v>60</v>
      </c>
      <c r="F160" s="86">
        <f>1*(1.5^$Q$50)</f>
        <v>1</v>
      </c>
      <c r="G160" s="86">
        <f t="shared" si="15"/>
        <v>130</v>
      </c>
      <c r="H160" s="85">
        <v>765</v>
      </c>
      <c r="I160" s="89">
        <f>12*(1.5^$Q$50)</f>
        <v>12</v>
      </c>
      <c r="J160" s="86">
        <f t="shared" si="16"/>
        <v>1605</v>
      </c>
      <c r="K160" s="85">
        <v>450</v>
      </c>
      <c r="L160" s="86">
        <f>15*(1.5^$Q$50)</f>
        <v>15</v>
      </c>
      <c r="M160" s="86">
        <f t="shared" si="17"/>
        <v>1500</v>
      </c>
      <c r="N160" s="8" t="s">
        <v>209</v>
      </c>
      <c r="O160" s="8" t="s">
        <v>137</v>
      </c>
    </row>
    <row r="161" spans="1:15">
      <c r="A161" s="19" t="s">
        <v>384</v>
      </c>
      <c r="B161" s="24" t="s">
        <v>16</v>
      </c>
      <c r="C161" s="10" t="s">
        <v>124</v>
      </c>
      <c r="D161" s="84">
        <v>70</v>
      </c>
      <c r="E161" s="85">
        <v>150</v>
      </c>
      <c r="F161" s="86">
        <f>4.2*(1.5^$Q$50)</f>
        <v>4.2</v>
      </c>
      <c r="G161" s="86">
        <f t="shared" si="15"/>
        <v>444</v>
      </c>
      <c r="H161" s="85">
        <v>675</v>
      </c>
      <c r="I161" s="86">
        <f>9.8*(1.5^$Q$50)</f>
        <v>9.8</v>
      </c>
      <c r="J161" s="86">
        <f t="shared" si="16"/>
        <v>1361</v>
      </c>
      <c r="K161" s="85">
        <v>450</v>
      </c>
      <c r="L161" s="86">
        <f>12*(1.5^$Q$50)</f>
        <v>12</v>
      </c>
      <c r="M161" s="86">
        <f t="shared" si="17"/>
        <v>1290</v>
      </c>
      <c r="N161" s="8" t="s">
        <v>168</v>
      </c>
      <c r="O161" s="8" t="s">
        <v>91</v>
      </c>
    </row>
    <row r="162" spans="1:15">
      <c r="A162" s="22" t="s">
        <v>385</v>
      </c>
      <c r="B162" s="23" t="s">
        <v>26</v>
      </c>
      <c r="C162" s="10" t="s">
        <v>82</v>
      </c>
      <c r="D162" s="84">
        <v>70</v>
      </c>
      <c r="E162" s="85">
        <v>10</v>
      </c>
      <c r="F162" s="86">
        <f>4.6*(1.5^$Q$50)</f>
        <v>4.6</v>
      </c>
      <c r="G162" s="86">
        <f t="shared" si="15"/>
        <v>332</v>
      </c>
      <c r="H162" s="85">
        <v>8</v>
      </c>
      <c r="I162" s="86">
        <f>1.2*(1.5^$Q$50)</f>
        <v>1.2</v>
      </c>
      <c r="J162" s="86">
        <f t="shared" si="16"/>
        <v>92</v>
      </c>
      <c r="K162" s="85">
        <v>48</v>
      </c>
      <c r="L162" s="86">
        <f>23*(1.5^$Q$50)</f>
        <v>23</v>
      </c>
      <c r="M162" s="86">
        <f t="shared" si="17"/>
        <v>1658</v>
      </c>
      <c r="N162" s="8" t="s">
        <v>215</v>
      </c>
      <c r="O162" s="8" t="s">
        <v>215</v>
      </c>
    </row>
    <row r="163" spans="1:15">
      <c r="A163" s="19" t="s">
        <v>386</v>
      </c>
      <c r="B163" s="28" t="s">
        <v>30</v>
      </c>
      <c r="C163" s="10" t="s">
        <v>124</v>
      </c>
      <c r="D163" s="84">
        <v>70</v>
      </c>
      <c r="E163" s="85">
        <f>120</f>
        <v>120</v>
      </c>
      <c r="F163" s="86">
        <f>1*(1.5^$Q$50)</f>
        <v>1</v>
      </c>
      <c r="G163" s="86">
        <f t="shared" si="15"/>
        <v>190</v>
      </c>
      <c r="H163" s="85">
        <v>690</v>
      </c>
      <c r="I163" s="86">
        <f>9.7*(1.5^$Q$50)</f>
        <v>9.7</v>
      </c>
      <c r="J163" s="86">
        <f t="shared" si="16"/>
        <v>1369</v>
      </c>
      <c r="K163" s="85">
        <v>465</v>
      </c>
      <c r="L163" s="86">
        <f>22*(1.5^$Q$50)</f>
        <v>22</v>
      </c>
      <c r="M163" s="86">
        <f t="shared" si="17"/>
        <v>2005</v>
      </c>
      <c r="N163" s="8" t="s">
        <v>387</v>
      </c>
      <c r="O163" s="8" t="s">
        <v>376</v>
      </c>
    </row>
    <row r="164" spans="1:15">
      <c r="A164" s="19" t="s">
        <v>388</v>
      </c>
      <c r="B164" s="28" t="s">
        <v>30</v>
      </c>
      <c r="C164" s="10" t="s">
        <v>124</v>
      </c>
      <c r="D164" s="84">
        <v>70</v>
      </c>
      <c r="E164" s="85">
        <v>48</v>
      </c>
      <c r="F164" s="86">
        <f>1.1*(1.5^$Q$50)</f>
        <v>1.1</v>
      </c>
      <c r="G164" s="86">
        <f t="shared" si="15"/>
        <v>125</v>
      </c>
      <c r="H164" s="85">
        <v>670</v>
      </c>
      <c r="I164" s="86">
        <f>9.6*(1.5^$Q$50)</f>
        <v>9.6</v>
      </c>
      <c r="J164" s="86">
        <f t="shared" si="16"/>
        <v>1342</v>
      </c>
      <c r="K164" s="85">
        <v>520</v>
      </c>
      <c r="L164" s="86">
        <f>23*(1.5^$Q$50)</f>
        <v>23</v>
      </c>
      <c r="M164" s="86">
        <f t="shared" si="17"/>
        <v>2130</v>
      </c>
      <c r="N164" s="8" t="s">
        <v>389</v>
      </c>
      <c r="O164" s="8" t="s">
        <v>132</v>
      </c>
    </row>
    <row r="165" spans="1:15">
      <c r="A165" s="19" t="s">
        <v>390</v>
      </c>
      <c r="B165" s="23" t="s">
        <v>26</v>
      </c>
      <c r="C165" s="10" t="s">
        <v>124</v>
      </c>
      <c r="D165" s="84">
        <v>70</v>
      </c>
      <c r="E165" s="85">
        <v>482</v>
      </c>
      <c r="F165" s="86">
        <f>4.3*(1.5^$Q$50)</f>
        <v>4.3</v>
      </c>
      <c r="G165" s="86">
        <f t="shared" si="15"/>
        <v>783</v>
      </c>
      <c r="H165" s="85">
        <v>35</v>
      </c>
      <c r="I165" s="86">
        <f>0.4*(1.5^$Q$50)</f>
        <v>0.4</v>
      </c>
      <c r="J165" s="86">
        <f t="shared" si="16"/>
        <v>63</v>
      </c>
      <c r="K165" s="85">
        <v>970</v>
      </c>
      <c r="L165" s="89">
        <f>40*(1.5^$Q$50)</f>
        <v>40</v>
      </c>
      <c r="M165" s="86">
        <f t="shared" si="17"/>
        <v>3770</v>
      </c>
      <c r="N165" s="8" t="s">
        <v>284</v>
      </c>
      <c r="O165" s="8" t="s">
        <v>142</v>
      </c>
    </row>
    <row r="166" spans="1:15">
      <c r="A166" s="19" t="s">
        <v>391</v>
      </c>
      <c r="B166" s="24" t="s">
        <v>16</v>
      </c>
      <c r="C166" s="10" t="s">
        <v>120</v>
      </c>
      <c r="D166" s="84">
        <v>70</v>
      </c>
      <c r="E166" s="85">
        <v>88</v>
      </c>
      <c r="F166" s="86">
        <f>0.3*(1.5^$Q$50)</f>
        <v>0.3</v>
      </c>
      <c r="G166" s="86">
        <f t="shared" si="15"/>
        <v>109</v>
      </c>
      <c r="H166" s="85">
        <v>678</v>
      </c>
      <c r="I166" s="86">
        <f>8.4*(1.5^$Q$50)</f>
        <v>8.4</v>
      </c>
      <c r="J166" s="86">
        <f t="shared" si="16"/>
        <v>1266</v>
      </c>
      <c r="K166" s="85">
        <v>567</v>
      </c>
      <c r="L166" s="89">
        <f>28*(1.5^$Q$50)</f>
        <v>28</v>
      </c>
      <c r="M166" s="86">
        <f t="shared" si="17"/>
        <v>2527</v>
      </c>
      <c r="N166" s="8" t="s">
        <v>171</v>
      </c>
      <c r="O166" s="8" t="s">
        <v>141</v>
      </c>
    </row>
    <row r="167" spans="1:15">
      <c r="A167" s="19" t="s">
        <v>392</v>
      </c>
      <c r="B167" s="28" t="s">
        <v>30</v>
      </c>
      <c r="C167" s="10" t="s">
        <v>124</v>
      </c>
      <c r="D167" s="84">
        <v>70</v>
      </c>
      <c r="E167" s="85">
        <v>34</v>
      </c>
      <c r="F167" s="86">
        <f>3.2*(1.5^$Q$50)</f>
        <v>3.2</v>
      </c>
      <c r="G167" s="86">
        <f t="shared" si="15"/>
        <v>258</v>
      </c>
      <c r="H167" s="85">
        <v>815</v>
      </c>
      <c r="I167" s="86">
        <f>7.5*(1.5^$Q$50)</f>
        <v>7.5</v>
      </c>
      <c r="J167" s="86">
        <f t="shared" si="16"/>
        <v>1340</v>
      </c>
      <c r="K167" s="85">
        <v>532</v>
      </c>
      <c r="L167" s="86">
        <f>22*(1.5^$Q$50)</f>
        <v>22</v>
      </c>
      <c r="M167" s="86">
        <f t="shared" si="17"/>
        <v>2072</v>
      </c>
      <c r="N167" s="8" t="s">
        <v>284</v>
      </c>
      <c r="O167" s="8" t="s">
        <v>90</v>
      </c>
    </row>
    <row r="168" spans="1:15">
      <c r="A168" s="19" t="s">
        <v>393</v>
      </c>
      <c r="B168" s="28" t="s">
        <v>30</v>
      </c>
      <c r="C168" s="10" t="s">
        <v>149</v>
      </c>
      <c r="D168" s="84">
        <v>70</v>
      </c>
      <c r="E168" s="85">
        <v>120</v>
      </c>
      <c r="F168" s="86">
        <f>3.2*(1.5^$Q$50)</f>
        <v>3.2</v>
      </c>
      <c r="G168" s="86">
        <f t="shared" si="15"/>
        <v>344</v>
      </c>
      <c r="H168" s="85">
        <v>705</v>
      </c>
      <c r="I168" s="86">
        <f>7.5*(1.5^$Q$50)</f>
        <v>7.5</v>
      </c>
      <c r="J168" s="86">
        <f t="shared" si="16"/>
        <v>1230</v>
      </c>
      <c r="K168" s="85">
        <v>450</v>
      </c>
      <c r="L168" s="86">
        <f>22*(1.5^$Q$50)</f>
        <v>22</v>
      </c>
      <c r="M168" s="86">
        <f t="shared" si="17"/>
        <v>1990</v>
      </c>
      <c r="N168" s="8" t="s">
        <v>249</v>
      </c>
      <c r="O168" s="8" t="s">
        <v>204</v>
      </c>
    </row>
    <row r="169" spans="1:15">
      <c r="A169" s="19" t="s">
        <v>394</v>
      </c>
      <c r="B169" s="23" t="s">
        <v>26</v>
      </c>
      <c r="C169" s="10" t="s">
        <v>140</v>
      </c>
      <c r="D169" s="84">
        <v>70</v>
      </c>
      <c r="E169" s="85">
        <v>550</v>
      </c>
      <c r="F169" s="86">
        <f>7.9*(1.5^$Q$50)</f>
        <v>7.9</v>
      </c>
      <c r="G169" s="86">
        <f t="shared" si="15"/>
        <v>1103</v>
      </c>
      <c r="H169" s="85">
        <v>15</v>
      </c>
      <c r="I169" s="86">
        <f>0.2*(1.5^$Q$50)</f>
        <v>0.2</v>
      </c>
      <c r="J169" s="86">
        <f t="shared" si="16"/>
        <v>29</v>
      </c>
      <c r="K169" s="85">
        <v>710</v>
      </c>
      <c r="L169" s="92">
        <f>35*(1.5^$Q$50)</f>
        <v>35</v>
      </c>
      <c r="M169" s="86">
        <f t="shared" si="17"/>
        <v>3160</v>
      </c>
      <c r="N169" s="8" t="s">
        <v>395</v>
      </c>
      <c r="O169" s="8" t="s">
        <v>396</v>
      </c>
    </row>
    <row r="170" spans="1:15">
      <c r="A170" s="19" t="s">
        <v>397</v>
      </c>
      <c r="B170" s="28" t="s">
        <v>30</v>
      </c>
      <c r="C170" s="10" t="s">
        <v>149</v>
      </c>
      <c r="D170" s="84">
        <v>70</v>
      </c>
      <c r="E170" s="85">
        <v>150</v>
      </c>
      <c r="F170" s="86">
        <f>2*(1.5^$Q$50)</f>
        <v>2</v>
      </c>
      <c r="G170" s="86">
        <f t="shared" si="15"/>
        <v>290</v>
      </c>
      <c r="H170" s="85">
        <v>750</v>
      </c>
      <c r="I170" s="86">
        <f>10*(1.5^$Q$50)</f>
        <v>10</v>
      </c>
      <c r="J170" s="86">
        <f t="shared" si="16"/>
        <v>1450</v>
      </c>
      <c r="K170" s="85">
        <v>375</v>
      </c>
      <c r="L170" s="86">
        <f>18*(1.5^$Q$50)</f>
        <v>18</v>
      </c>
      <c r="M170" s="86">
        <f t="shared" si="17"/>
        <v>1635</v>
      </c>
      <c r="N170" s="8" t="s">
        <v>398</v>
      </c>
      <c r="O170" s="8" t="s">
        <v>144</v>
      </c>
    </row>
    <row r="171" spans="1:15">
      <c r="A171" s="19" t="s">
        <v>399</v>
      </c>
      <c r="B171" s="20" t="s">
        <v>21</v>
      </c>
      <c r="C171" s="10" t="s">
        <v>140</v>
      </c>
      <c r="D171" s="84">
        <v>70</v>
      </c>
      <c r="E171" s="85">
        <v>450</v>
      </c>
      <c r="F171" s="86">
        <f>9*(1.5^$Q$50)</f>
        <v>9</v>
      </c>
      <c r="G171" s="86">
        <f t="shared" si="15"/>
        <v>1080</v>
      </c>
      <c r="H171" s="85">
        <v>15</v>
      </c>
      <c r="I171" s="86">
        <f>0.3*(1.5^$Q$50)</f>
        <v>0.3</v>
      </c>
      <c r="J171" s="86">
        <f t="shared" si="16"/>
        <v>36</v>
      </c>
      <c r="K171" s="85">
        <v>810</v>
      </c>
      <c r="L171" s="88">
        <f>33*(1.5^$Q$50)</f>
        <v>33</v>
      </c>
      <c r="M171" s="86">
        <f t="shared" si="17"/>
        <v>3120</v>
      </c>
      <c r="N171" s="8" t="s">
        <v>400</v>
      </c>
      <c r="O171" s="8" t="s">
        <v>142</v>
      </c>
    </row>
    <row r="172" spans="1:15">
      <c r="A172" s="33" t="s">
        <v>401</v>
      </c>
      <c r="B172" s="20" t="s">
        <v>21</v>
      </c>
      <c r="C172" s="10" t="s">
        <v>82</v>
      </c>
      <c r="D172" s="84">
        <v>70</v>
      </c>
      <c r="E172" s="85">
        <v>180</v>
      </c>
      <c r="F172" s="86">
        <f>9.2*(1.5^$Q$50)</f>
        <v>9.2</v>
      </c>
      <c r="G172" s="86">
        <f t="shared" si="15"/>
        <v>824</v>
      </c>
      <c r="H172" s="85">
        <v>20</v>
      </c>
      <c r="I172" s="86">
        <f>1.8*(1.5^$Q$50)</f>
        <v>1.8</v>
      </c>
      <c r="J172" s="86">
        <f t="shared" si="16"/>
        <v>146</v>
      </c>
      <c r="K172" s="85">
        <v>225</v>
      </c>
      <c r="L172" s="86">
        <f>21*(1.5^$Q$50)</f>
        <v>21</v>
      </c>
      <c r="M172" s="86">
        <f t="shared" si="17"/>
        <v>1695</v>
      </c>
      <c r="N172" s="8" t="s">
        <v>364</v>
      </c>
      <c r="O172" s="8" t="s">
        <v>310</v>
      </c>
    </row>
    <row r="173" spans="1:15">
      <c r="A173" s="19" t="s">
        <v>402</v>
      </c>
      <c r="B173" s="20" t="s">
        <v>21</v>
      </c>
      <c r="C173" s="10" t="s">
        <v>124</v>
      </c>
      <c r="D173" s="84">
        <v>70</v>
      </c>
      <c r="E173" s="85">
        <v>464</v>
      </c>
      <c r="F173" s="88">
        <f>9.4*(1.5^$Q$50)</f>
        <v>9.4</v>
      </c>
      <c r="G173" s="86">
        <f t="shared" si="15"/>
        <v>1122</v>
      </c>
      <c r="H173" s="85">
        <v>27</v>
      </c>
      <c r="I173" s="86">
        <f>0.7*(1.5^$Q$50)</f>
        <v>0.7</v>
      </c>
      <c r="J173" s="86">
        <f t="shared" si="16"/>
        <v>76</v>
      </c>
      <c r="K173" s="85">
        <v>990</v>
      </c>
      <c r="L173" s="86">
        <f>28.6*(1.5^$Q$50)</f>
        <v>28.6</v>
      </c>
      <c r="M173" s="86">
        <f t="shared" si="17"/>
        <v>2992</v>
      </c>
      <c r="N173" s="8" t="s">
        <v>403</v>
      </c>
      <c r="O173" s="8" t="s">
        <v>252</v>
      </c>
    </row>
    <row r="174" spans="1:15">
      <c r="A174" s="19" t="s">
        <v>404</v>
      </c>
      <c r="B174" s="20" t="s">
        <v>21</v>
      </c>
      <c r="C174" s="10" t="s">
        <v>149</v>
      </c>
      <c r="D174" s="84">
        <v>70</v>
      </c>
      <c r="E174" s="85">
        <v>600</v>
      </c>
      <c r="F174" s="89">
        <f>9.8*(1.5^$Q$50)</f>
        <v>9.8</v>
      </c>
      <c r="G174" s="86">
        <f t="shared" si="15"/>
        <v>1286</v>
      </c>
      <c r="H174" s="85">
        <v>75</v>
      </c>
      <c r="I174" s="86">
        <f>0.2*(1.5^$Q$50)</f>
        <v>0.2</v>
      </c>
      <c r="J174" s="86">
        <f t="shared" si="16"/>
        <v>89</v>
      </c>
      <c r="K174" s="85">
        <v>600</v>
      </c>
      <c r="L174" s="86">
        <f>24*(1.5^$Q$50)</f>
        <v>24</v>
      </c>
      <c r="M174" s="86">
        <f t="shared" si="17"/>
        <v>2280</v>
      </c>
      <c r="N174" s="8" t="s">
        <v>252</v>
      </c>
      <c r="O174" s="8" t="s">
        <v>126</v>
      </c>
    </row>
    <row r="175" spans="1:15">
      <c r="A175" s="19" t="s">
        <v>405</v>
      </c>
      <c r="B175" s="28" t="s">
        <v>30</v>
      </c>
      <c r="C175" s="10" t="s">
        <v>140</v>
      </c>
      <c r="D175" s="84">
        <v>70</v>
      </c>
      <c r="E175" s="85">
        <f>105</f>
        <v>105</v>
      </c>
      <c r="F175" s="86">
        <f>1*(1.5^$Q$50)</f>
        <v>1</v>
      </c>
      <c r="G175" s="86">
        <f t="shared" si="15"/>
        <v>175</v>
      </c>
      <c r="H175" s="85">
        <v>645</v>
      </c>
      <c r="I175" s="86">
        <f>10*(1.5^$Q$50)</f>
        <v>10</v>
      </c>
      <c r="J175" s="86">
        <f t="shared" si="16"/>
        <v>1345</v>
      </c>
      <c r="K175" s="85">
        <v>525</v>
      </c>
      <c r="L175" s="86">
        <f>21*(1.5^$Q$50)</f>
        <v>21</v>
      </c>
      <c r="M175" s="86">
        <f t="shared" si="17"/>
        <v>1995</v>
      </c>
      <c r="N175" s="8" t="s">
        <v>406</v>
      </c>
      <c r="O175" s="8" t="s">
        <v>407</v>
      </c>
    </row>
    <row r="176" spans="1:15">
      <c r="A176" s="19" t="s">
        <v>408</v>
      </c>
      <c r="B176" s="20" t="s">
        <v>21</v>
      </c>
      <c r="C176" s="10" t="s">
        <v>124</v>
      </c>
      <c r="D176" s="84">
        <v>70</v>
      </c>
      <c r="E176" s="85">
        <v>330</v>
      </c>
      <c r="F176" s="86">
        <f>4.4*(1.5^$Q$50)</f>
        <v>4.4</v>
      </c>
      <c r="G176" s="86">
        <f t="shared" si="15"/>
        <v>638</v>
      </c>
      <c r="H176" s="85">
        <v>82</v>
      </c>
      <c r="I176" s="86">
        <f>0.7*(1.5^$Q$50)</f>
        <v>0.7</v>
      </c>
      <c r="J176" s="86">
        <f t="shared" si="16"/>
        <v>131</v>
      </c>
      <c r="K176" s="85">
        <v>990</v>
      </c>
      <c r="L176" s="91">
        <f>44*(1.5^$Q$50)</f>
        <v>44</v>
      </c>
      <c r="M176" s="86">
        <f t="shared" si="17"/>
        <v>4070</v>
      </c>
      <c r="N176" s="8" t="s">
        <v>409</v>
      </c>
      <c r="O176" s="8" t="s">
        <v>342</v>
      </c>
    </row>
    <row r="177" spans="1:18">
      <c r="A177" s="19" t="s">
        <v>410</v>
      </c>
      <c r="B177" s="28" t="s">
        <v>30</v>
      </c>
      <c r="C177" s="10" t="s">
        <v>120</v>
      </c>
      <c r="D177" s="84">
        <v>70</v>
      </c>
      <c r="E177" s="85">
        <v>165</v>
      </c>
      <c r="F177" s="86">
        <f>2*(1.5^$Q$50)</f>
        <v>2</v>
      </c>
      <c r="G177" s="86">
        <f t="shared" si="15"/>
        <v>305</v>
      </c>
      <c r="H177" s="85">
        <v>795</v>
      </c>
      <c r="I177" s="90">
        <f>11.7*(1.5^$Q$50)</f>
        <v>11.7</v>
      </c>
      <c r="J177" s="86">
        <f t="shared" si="16"/>
        <v>1614</v>
      </c>
      <c r="K177" s="85">
        <v>315</v>
      </c>
      <c r="L177" s="86">
        <f>13*(1.5^$Q$50)</f>
        <v>13</v>
      </c>
      <c r="M177" s="86">
        <f t="shared" si="17"/>
        <v>1225</v>
      </c>
      <c r="N177" s="8" t="s">
        <v>411</v>
      </c>
      <c r="O177" s="8" t="s">
        <v>158</v>
      </c>
    </row>
    <row r="178" spans="1:18">
      <c r="A178" s="34" t="s">
        <v>412</v>
      </c>
      <c r="B178" s="23" t="s">
        <v>26</v>
      </c>
      <c r="C178" s="10" t="s">
        <v>82</v>
      </c>
      <c r="D178" s="84">
        <v>70</v>
      </c>
      <c r="E178" s="85">
        <v>192</v>
      </c>
      <c r="F178" s="86">
        <f>6*(1.5^$Q$50)</f>
        <v>6</v>
      </c>
      <c r="G178" s="86">
        <f t="shared" si="15"/>
        <v>612</v>
      </c>
      <c r="H178" s="85">
        <v>8</v>
      </c>
      <c r="I178" s="86">
        <f>2*(1.5^$Q$50)</f>
        <v>2</v>
      </c>
      <c r="J178" s="86">
        <f t="shared" si="16"/>
        <v>148</v>
      </c>
      <c r="K178" s="85">
        <v>480</v>
      </c>
      <c r="L178" s="86">
        <f>30*(1.5^$Q$50)</f>
        <v>30</v>
      </c>
      <c r="M178" s="86">
        <f t="shared" si="17"/>
        <v>2580</v>
      </c>
      <c r="N178" s="8" t="s">
        <v>129</v>
      </c>
      <c r="O178" s="8" t="s">
        <v>196</v>
      </c>
    </row>
    <row r="179" spans="1:18">
      <c r="A179" s="19" t="s">
        <v>413</v>
      </c>
      <c r="B179" s="23" t="s">
        <v>26</v>
      </c>
      <c r="C179" s="10" t="s">
        <v>140</v>
      </c>
      <c r="D179" s="84">
        <v>70</v>
      </c>
      <c r="E179" s="85">
        <v>482</v>
      </c>
      <c r="F179" s="87">
        <f>9*(1.5^$Q$50)</f>
        <v>9</v>
      </c>
      <c r="G179" s="86">
        <f t="shared" si="15"/>
        <v>1112</v>
      </c>
      <c r="H179" s="85">
        <v>35</v>
      </c>
      <c r="I179" s="86">
        <f>0.2*(1.5^$Q$50)</f>
        <v>0.2</v>
      </c>
      <c r="J179" s="86">
        <f t="shared" si="16"/>
        <v>49</v>
      </c>
      <c r="K179" s="85">
        <v>970</v>
      </c>
      <c r="L179" s="86">
        <f>30*(1.5^$Q$50)</f>
        <v>30</v>
      </c>
      <c r="M179" s="86">
        <f t="shared" si="17"/>
        <v>3070</v>
      </c>
      <c r="N179" s="8" t="s">
        <v>414</v>
      </c>
      <c r="O179" s="8" t="s">
        <v>172</v>
      </c>
    </row>
    <row r="180" spans="1:18">
      <c r="A180" s="19" t="s">
        <v>415</v>
      </c>
      <c r="B180" s="20" t="s">
        <v>21</v>
      </c>
      <c r="C180" s="10" t="s">
        <v>149</v>
      </c>
      <c r="D180" s="84">
        <v>70</v>
      </c>
      <c r="E180" s="85">
        <v>435</v>
      </c>
      <c r="F180" s="86">
        <f>8*(1.5^$Q$50)</f>
        <v>8</v>
      </c>
      <c r="G180" s="86">
        <f t="shared" si="15"/>
        <v>995</v>
      </c>
      <c r="H180" s="85">
        <v>105</v>
      </c>
      <c r="I180" s="86">
        <f>0.3*(1.5^$Q$50)</f>
        <v>0.3</v>
      </c>
      <c r="J180" s="86">
        <f t="shared" si="16"/>
        <v>126</v>
      </c>
      <c r="K180" s="85">
        <v>735</v>
      </c>
      <c r="L180" s="86">
        <f>29*(1.5^$Q$50)</f>
        <v>29</v>
      </c>
      <c r="M180" s="86">
        <f t="shared" si="17"/>
        <v>2765</v>
      </c>
      <c r="N180" s="8" t="s">
        <v>126</v>
      </c>
      <c r="O180" s="8" t="s">
        <v>230</v>
      </c>
    </row>
    <row r="181" spans="1:18">
      <c r="A181" s="19" t="s">
        <v>416</v>
      </c>
      <c r="B181" s="28" t="s">
        <v>30</v>
      </c>
      <c r="C181" s="10" t="s">
        <v>149</v>
      </c>
      <c r="D181" s="84">
        <v>70</v>
      </c>
      <c r="E181" s="85">
        <v>75</v>
      </c>
      <c r="F181" s="86">
        <f>1.1*(1.5^$Q$50)</f>
        <v>1.1</v>
      </c>
      <c r="G181" s="86">
        <f t="shared" si="15"/>
        <v>152</v>
      </c>
      <c r="H181" s="85">
        <v>780</v>
      </c>
      <c r="I181" s="86">
        <f>9.6*(1.5^$Q$50)</f>
        <v>9.6</v>
      </c>
      <c r="J181" s="86">
        <f t="shared" si="16"/>
        <v>1452</v>
      </c>
      <c r="K181" s="85">
        <v>420</v>
      </c>
      <c r="L181" s="86">
        <f>22*(1.5^$Q$50)</f>
        <v>22</v>
      </c>
      <c r="M181" s="86">
        <f t="shared" si="17"/>
        <v>1960</v>
      </c>
      <c r="N181" s="8" t="s">
        <v>144</v>
      </c>
      <c r="O181" s="8" t="s">
        <v>344</v>
      </c>
    </row>
    <row r="182" spans="1:18">
      <c r="A182" s="19" t="s">
        <v>417</v>
      </c>
      <c r="B182" s="24" t="s">
        <v>16</v>
      </c>
      <c r="C182" s="10" t="s">
        <v>124</v>
      </c>
      <c r="D182" s="84">
        <v>70</v>
      </c>
      <c r="E182" s="85">
        <v>85</v>
      </c>
      <c r="F182" s="86">
        <f>0.5*(1.5^$Q$50)</f>
        <v>0.5</v>
      </c>
      <c r="G182" s="86">
        <f t="shared" si="15"/>
        <v>120</v>
      </c>
      <c r="H182" s="85">
        <v>800</v>
      </c>
      <c r="I182" s="91">
        <f>13.5*(1.5^$Q$50)</f>
        <v>13.5</v>
      </c>
      <c r="J182" s="86">
        <f t="shared" si="16"/>
        <v>1745</v>
      </c>
      <c r="K182" s="85">
        <v>550</v>
      </c>
      <c r="L182" s="86">
        <f>15*(1.5^$Q$50)</f>
        <v>15</v>
      </c>
      <c r="M182" s="86">
        <f t="shared" si="17"/>
        <v>1600</v>
      </c>
      <c r="N182" s="8" t="s">
        <v>234</v>
      </c>
      <c r="O182" s="8" t="s">
        <v>91</v>
      </c>
    </row>
    <row r="183" spans="1:18">
      <c r="A183" s="19" t="s">
        <v>418</v>
      </c>
      <c r="B183" s="28" t="s">
        <v>30</v>
      </c>
      <c r="C183" s="10" t="s">
        <v>82</v>
      </c>
      <c r="D183" s="84">
        <v>70</v>
      </c>
      <c r="E183" s="85">
        <v>90</v>
      </c>
      <c r="F183" s="86">
        <f>3.2*(1.5^$Q$50)</f>
        <v>3.2</v>
      </c>
      <c r="G183" s="86">
        <f t="shared" si="15"/>
        <v>314</v>
      </c>
      <c r="H183" s="85">
        <v>820</v>
      </c>
      <c r="I183" s="86">
        <f>7.5*(1.5^$Q$50)</f>
        <v>7.5</v>
      </c>
      <c r="J183" s="86">
        <f t="shared" si="16"/>
        <v>1345</v>
      </c>
      <c r="K183" s="85">
        <v>550</v>
      </c>
      <c r="L183" s="86">
        <f>22*(1.5^$Q$50)</f>
        <v>22</v>
      </c>
      <c r="M183" s="86">
        <f t="shared" si="17"/>
        <v>2090</v>
      </c>
      <c r="N183" s="8" t="s">
        <v>212</v>
      </c>
      <c r="O183" s="8" t="s">
        <v>90</v>
      </c>
    </row>
    <row r="184" spans="1:18">
      <c r="A184" s="22" t="s">
        <v>419</v>
      </c>
      <c r="B184" s="20" t="s">
        <v>21</v>
      </c>
      <c r="C184" s="10" t="s">
        <v>82</v>
      </c>
      <c r="D184" s="84">
        <v>70</v>
      </c>
      <c r="E184" s="85">
        <v>24</v>
      </c>
      <c r="F184" s="86">
        <f>7*(1.5^$Q$50)</f>
        <v>7</v>
      </c>
      <c r="G184" s="86">
        <f t="shared" si="15"/>
        <v>514</v>
      </c>
      <c r="H184" s="85">
        <v>1</v>
      </c>
      <c r="I184" s="86">
        <f>0.7*(1.5^$Q$50)</f>
        <v>0.7</v>
      </c>
      <c r="J184" s="86">
        <f t="shared" si="16"/>
        <v>50</v>
      </c>
      <c r="K184" s="85">
        <v>40</v>
      </c>
      <c r="L184" s="86">
        <f>18*(1.5^$Q$50)</f>
        <v>18</v>
      </c>
      <c r="M184" s="86">
        <f t="shared" si="17"/>
        <v>1300</v>
      </c>
      <c r="N184" s="8" t="s">
        <v>258</v>
      </c>
      <c r="O184" s="8" t="s">
        <v>420</v>
      </c>
    </row>
    <row r="185" spans="1:18">
      <c r="A185" s="19" t="s">
        <v>421</v>
      </c>
      <c r="B185" s="28" t="s">
        <v>30</v>
      </c>
      <c r="C185" s="10" t="s">
        <v>124</v>
      </c>
      <c r="D185" s="84">
        <v>70</v>
      </c>
      <c r="E185" s="85">
        <v>30</v>
      </c>
      <c r="F185" s="86">
        <f>0.6*(1.5^$Q$50)</f>
        <v>0.6</v>
      </c>
      <c r="G185" s="86">
        <f t="shared" si="15"/>
        <v>72</v>
      </c>
      <c r="H185" s="85">
        <f>720</f>
        <v>720</v>
      </c>
      <c r="I185" s="86">
        <f>10.1*(1.5^$Q$50)</f>
        <v>10.1</v>
      </c>
      <c r="J185" s="86">
        <f t="shared" si="16"/>
        <v>1427</v>
      </c>
      <c r="K185" s="85">
        <v>525</v>
      </c>
      <c r="L185" s="86">
        <f>20*(1.5^$Q$50)</f>
        <v>20</v>
      </c>
      <c r="M185" s="86">
        <f t="shared" si="17"/>
        <v>1925</v>
      </c>
      <c r="N185" s="8" t="s">
        <v>422</v>
      </c>
      <c r="O185" s="8" t="s">
        <v>137</v>
      </c>
    </row>
    <row r="186" spans="1:18">
      <c r="A186" s="19" t="s">
        <v>423</v>
      </c>
      <c r="B186" s="24" t="s">
        <v>16</v>
      </c>
      <c r="C186" s="10" t="s">
        <v>149</v>
      </c>
      <c r="D186" s="84">
        <v>70</v>
      </c>
      <c r="E186" s="85">
        <v>415</v>
      </c>
      <c r="F186" s="86">
        <f>9*(1.5^$Q$50)</f>
        <v>9</v>
      </c>
      <c r="G186" s="86">
        <f t="shared" si="15"/>
        <v>1045</v>
      </c>
      <c r="H186" s="85">
        <v>375</v>
      </c>
      <c r="I186" s="86">
        <f>9*(1.5^$Q$50)</f>
        <v>9</v>
      </c>
      <c r="J186" s="86">
        <f t="shared" si="16"/>
        <v>1005</v>
      </c>
      <c r="K186" s="85">
        <v>560</v>
      </c>
      <c r="L186" s="92">
        <f>25*(1.5^$Q$50)</f>
        <v>25</v>
      </c>
      <c r="M186" s="86">
        <f t="shared" si="17"/>
        <v>2310</v>
      </c>
      <c r="N186" s="8" t="s">
        <v>424</v>
      </c>
      <c r="O186" s="8" t="s">
        <v>169</v>
      </c>
    </row>
    <row r="187" spans="1:18">
      <c r="A187" s="19" t="s">
        <v>425</v>
      </c>
      <c r="B187" s="23" t="s">
        <v>26</v>
      </c>
      <c r="C187" s="10" t="s">
        <v>120</v>
      </c>
      <c r="D187" s="84">
        <v>70</v>
      </c>
      <c r="E187" s="85">
        <v>450</v>
      </c>
      <c r="F187" s="86">
        <f>6.7*(1.5^$Q$50)</f>
        <v>6.7</v>
      </c>
      <c r="G187" s="86">
        <f t="shared" si="15"/>
        <v>919</v>
      </c>
      <c r="H187" s="85">
        <v>75</v>
      </c>
      <c r="I187" s="86">
        <f>0.5*(1.5^$Q$50)</f>
        <v>0.5</v>
      </c>
      <c r="J187" s="86">
        <f t="shared" si="16"/>
        <v>110</v>
      </c>
      <c r="K187" s="85">
        <v>750</v>
      </c>
      <c r="L187" s="92">
        <f>35*(1.5^$Q$50)</f>
        <v>35</v>
      </c>
      <c r="M187" s="86">
        <f t="shared" si="17"/>
        <v>3200</v>
      </c>
      <c r="N187" s="8" t="s">
        <v>426</v>
      </c>
      <c r="O187" s="8" t="s">
        <v>182</v>
      </c>
    </row>
    <row r="188" spans="1:18">
      <c r="A188" s="93" t="s">
        <v>427</v>
      </c>
      <c r="B188" s="94" t="s">
        <v>26</v>
      </c>
      <c r="C188" s="95" t="s">
        <v>188</v>
      </c>
      <c r="D188" s="96">
        <v>70</v>
      </c>
      <c r="E188" s="97">
        <v>615</v>
      </c>
      <c r="F188" s="98">
        <f>61.2*(1.5^$Q$50)</f>
        <v>61.2</v>
      </c>
      <c r="G188" s="98">
        <f t="shared" si="15"/>
        <v>4899</v>
      </c>
      <c r="H188" s="97">
        <v>35</v>
      </c>
      <c r="I188" s="98">
        <f>61.2*(1.5^$Q$50)</f>
        <v>61.2</v>
      </c>
      <c r="J188" s="98">
        <f t="shared" si="16"/>
        <v>4319</v>
      </c>
      <c r="K188" s="97">
        <v>2250</v>
      </c>
      <c r="L188" s="98">
        <f>306*(1.5^$Q$50)</f>
        <v>306</v>
      </c>
      <c r="M188" s="98">
        <f t="shared" si="17"/>
        <v>23670</v>
      </c>
      <c r="N188" s="99" t="s">
        <v>428</v>
      </c>
      <c r="O188" s="99" t="s">
        <v>400</v>
      </c>
      <c r="P188" s="83"/>
      <c r="Q188" s="83"/>
      <c r="R188" s="83"/>
    </row>
    <row r="189" spans="1:18">
      <c r="A189" s="33" t="s">
        <v>429</v>
      </c>
      <c r="B189" s="23" t="s">
        <v>26</v>
      </c>
      <c r="C189" s="10" t="s">
        <v>82</v>
      </c>
      <c r="D189" s="84">
        <v>70</v>
      </c>
      <c r="E189" s="85">
        <v>125</v>
      </c>
      <c r="F189" s="86">
        <f>7*(1.5^$Q$50)</f>
        <v>7</v>
      </c>
      <c r="G189" s="86">
        <f t="shared" si="15"/>
        <v>615</v>
      </c>
      <c r="H189" s="85">
        <v>10</v>
      </c>
      <c r="I189" s="86">
        <f>2*(1.5^$Q$50)</f>
        <v>2</v>
      </c>
      <c r="J189" s="86">
        <f t="shared" si="16"/>
        <v>150</v>
      </c>
      <c r="K189" s="85">
        <v>290</v>
      </c>
      <c r="L189" s="86">
        <f>27*(1.5^$Q$50)</f>
        <v>27</v>
      </c>
      <c r="M189" s="86">
        <f t="shared" si="17"/>
        <v>2180</v>
      </c>
      <c r="N189" s="8" t="s">
        <v>196</v>
      </c>
      <c r="O189" s="8" t="s">
        <v>198</v>
      </c>
    </row>
    <row r="190" spans="1:18">
      <c r="A190" s="19" t="s">
        <v>430</v>
      </c>
      <c r="B190" s="20" t="s">
        <v>21</v>
      </c>
      <c r="C190" s="10" t="s">
        <v>124</v>
      </c>
      <c r="D190" s="84">
        <v>70</v>
      </c>
      <c r="E190" s="85">
        <v>506</v>
      </c>
      <c r="F190" s="86">
        <f>7.7*(1.5^$Q$50)</f>
        <v>7.7</v>
      </c>
      <c r="G190" s="86">
        <f t="shared" si="15"/>
        <v>1045</v>
      </c>
      <c r="H190" s="85">
        <v>23</v>
      </c>
      <c r="I190" s="86">
        <f>0.7*(1.5^$Q$50)</f>
        <v>0.7</v>
      </c>
      <c r="J190" s="86">
        <f t="shared" si="16"/>
        <v>72</v>
      </c>
      <c r="K190" s="85">
        <v>890</v>
      </c>
      <c r="L190" s="90">
        <f>34.1*(1.5^$Q$50)</f>
        <v>34.1</v>
      </c>
      <c r="M190" s="86">
        <f t="shared" si="17"/>
        <v>3277</v>
      </c>
      <c r="N190" s="8" t="s">
        <v>357</v>
      </c>
      <c r="O190" s="8" t="s">
        <v>59</v>
      </c>
    </row>
    <row r="191" spans="1:18">
      <c r="A191" s="33" t="s">
        <v>431</v>
      </c>
      <c r="B191" s="23" t="s">
        <v>26</v>
      </c>
      <c r="C191" s="10" t="s">
        <v>82</v>
      </c>
      <c r="D191" s="84">
        <v>70</v>
      </c>
      <c r="E191" s="85">
        <v>100</v>
      </c>
      <c r="F191" s="86">
        <f>5*(1.5^$Q$50)</f>
        <v>5</v>
      </c>
      <c r="G191" s="86">
        <f t="shared" si="15"/>
        <v>450</v>
      </c>
      <c r="H191" s="85">
        <v>45</v>
      </c>
      <c r="I191" s="86">
        <f>4.7*(1.5^$Q$50)</f>
        <v>4.7</v>
      </c>
      <c r="J191" s="86">
        <f t="shared" si="16"/>
        <v>374</v>
      </c>
      <c r="K191" s="85">
        <v>280</v>
      </c>
      <c r="L191" s="86">
        <f>25*(1.5^$Q$50)</f>
        <v>25</v>
      </c>
      <c r="M191" s="86">
        <f t="shared" si="17"/>
        <v>2030</v>
      </c>
      <c r="N191" s="8" t="s">
        <v>196</v>
      </c>
      <c r="O191" s="8" t="s">
        <v>195</v>
      </c>
    </row>
    <row r="192" spans="1:18">
      <c r="A192" s="19" t="s">
        <v>432</v>
      </c>
      <c r="B192" s="28" t="s">
        <v>30</v>
      </c>
      <c r="C192" s="10" t="s">
        <v>120</v>
      </c>
      <c r="D192" s="84">
        <v>70</v>
      </c>
      <c r="E192" s="85">
        <v>35</v>
      </c>
      <c r="F192" s="86">
        <f>0.6*(1.5^$Q$50)</f>
        <v>0.6</v>
      </c>
      <c r="G192" s="86">
        <f t="shared" si="15"/>
        <v>77</v>
      </c>
      <c r="H192" s="85">
        <v>720</v>
      </c>
      <c r="I192" s="86">
        <f>10.2*(1.5^$Q$50)</f>
        <v>10.2</v>
      </c>
      <c r="J192" s="86">
        <f t="shared" si="16"/>
        <v>1434</v>
      </c>
      <c r="K192" s="85">
        <v>520</v>
      </c>
      <c r="L192" s="86">
        <f>22*(1.5^$Q$50)</f>
        <v>22</v>
      </c>
      <c r="M192" s="86">
        <f t="shared" si="17"/>
        <v>2060</v>
      </c>
      <c r="N192" s="8" t="s">
        <v>433</v>
      </c>
      <c r="O192" s="8" t="s">
        <v>434</v>
      </c>
    </row>
    <row r="193" spans="1:15">
      <c r="A193" s="33" t="s">
        <v>435</v>
      </c>
      <c r="B193" s="24" t="s">
        <v>16</v>
      </c>
      <c r="C193" s="10" t="s">
        <v>82</v>
      </c>
      <c r="D193" s="84">
        <v>70</v>
      </c>
      <c r="E193" s="85">
        <v>120</v>
      </c>
      <c r="F193" s="86">
        <f>5.6*(1.5^$Q$50)</f>
        <v>5.6</v>
      </c>
      <c r="G193" s="86">
        <f t="shared" si="15"/>
        <v>512</v>
      </c>
      <c r="H193" s="85">
        <v>160</v>
      </c>
      <c r="I193" s="86">
        <f>5.7*(1.5^$Q$50)</f>
        <v>5.7</v>
      </c>
      <c r="J193" s="86">
        <f t="shared" si="16"/>
        <v>559</v>
      </c>
      <c r="K193" s="85">
        <v>145</v>
      </c>
      <c r="L193" s="86">
        <f>20*(1.5^$Q$50)</f>
        <v>20</v>
      </c>
      <c r="M193" s="86">
        <f t="shared" si="17"/>
        <v>1545</v>
      </c>
      <c r="N193" s="8" t="s">
        <v>310</v>
      </c>
      <c r="O193" s="8" t="s">
        <v>436</v>
      </c>
    </row>
    <row r="194" spans="1:15">
      <c r="A194" s="34" t="s">
        <v>437</v>
      </c>
      <c r="B194" s="24" t="s">
        <v>16</v>
      </c>
      <c r="C194" s="10" t="s">
        <v>82</v>
      </c>
      <c r="D194" s="84">
        <v>70</v>
      </c>
      <c r="E194" s="85">
        <v>120</v>
      </c>
      <c r="F194" s="86">
        <f>4.4*(1.5^$Q$50)</f>
        <v>4.4</v>
      </c>
      <c r="G194" s="86">
        <f t="shared" si="15"/>
        <v>428</v>
      </c>
      <c r="H194" s="85">
        <v>360</v>
      </c>
      <c r="I194" s="86">
        <f>9.3*(1.5^$Q$50)</f>
        <v>9.3</v>
      </c>
      <c r="J194" s="86">
        <f t="shared" si="16"/>
        <v>1011</v>
      </c>
      <c r="K194" s="85">
        <v>200</v>
      </c>
      <c r="L194" s="86">
        <f>13*(1.5^$Q$50)</f>
        <v>13</v>
      </c>
      <c r="M194" s="86">
        <f t="shared" si="17"/>
        <v>1110</v>
      </c>
      <c r="N194" s="8" t="s">
        <v>174</v>
      </c>
      <c r="O194" s="8" t="s">
        <v>175</v>
      </c>
    </row>
    <row r="195" spans="1:15">
      <c r="A195" s="19" t="s">
        <v>438</v>
      </c>
      <c r="B195" s="28" t="s">
        <v>30</v>
      </c>
      <c r="C195" s="10" t="s">
        <v>124</v>
      </c>
      <c r="D195" s="84">
        <v>70</v>
      </c>
      <c r="E195" s="85">
        <v>135</v>
      </c>
      <c r="F195" s="86">
        <f>1*(1.5^$Q$50)</f>
        <v>1</v>
      </c>
      <c r="G195" s="86">
        <f t="shared" si="15"/>
        <v>205</v>
      </c>
      <c r="H195" s="85">
        <v>570</v>
      </c>
      <c r="I195" s="88">
        <f>11.3*(1.5^$Q$50)</f>
        <v>11.3</v>
      </c>
      <c r="J195" s="86">
        <f t="shared" si="16"/>
        <v>1361</v>
      </c>
      <c r="K195" s="85">
        <v>570</v>
      </c>
      <c r="L195" s="86">
        <f>17*(1.5^$Q$50)</f>
        <v>17</v>
      </c>
      <c r="M195" s="86">
        <f t="shared" si="17"/>
        <v>1760</v>
      </c>
      <c r="N195" s="8" t="s">
        <v>439</v>
      </c>
      <c r="O195" s="8" t="s">
        <v>137</v>
      </c>
    </row>
    <row r="196" spans="1:15">
      <c r="A196" s="22" t="s">
        <v>440</v>
      </c>
      <c r="C196" s="10" t="s">
        <v>82</v>
      </c>
      <c r="D196" s="84">
        <v>70</v>
      </c>
      <c r="E196" s="85">
        <v>18</v>
      </c>
      <c r="F196" s="86">
        <f>4*(1.5^$Q$50)</f>
        <v>4</v>
      </c>
      <c r="G196" s="86">
        <f t="shared" si="15"/>
        <v>298</v>
      </c>
      <c r="H196" s="85">
        <v>23</v>
      </c>
      <c r="I196" s="86">
        <f>3.7*(1.5^$Q$50)</f>
        <v>3.7</v>
      </c>
      <c r="J196" s="86">
        <f t="shared" si="16"/>
        <v>282</v>
      </c>
      <c r="K196" s="85">
        <v>24</v>
      </c>
      <c r="L196" s="86">
        <f>18*(1.5^$Q$50)</f>
        <v>18</v>
      </c>
      <c r="M196" s="86">
        <f t="shared" si="17"/>
        <v>1284</v>
      </c>
      <c r="N196" s="8" t="s">
        <v>441</v>
      </c>
      <c r="O196" s="8" t="s">
        <v>267</v>
      </c>
    </row>
    <row r="197" spans="1:15">
      <c r="A197" s="33" t="s">
        <v>442</v>
      </c>
      <c r="B197" s="28" t="s">
        <v>30</v>
      </c>
      <c r="C197" s="10" t="s">
        <v>82</v>
      </c>
      <c r="D197" s="84">
        <v>70</v>
      </c>
      <c r="E197" s="85">
        <v>125</v>
      </c>
      <c r="F197" s="86">
        <f>5.6*(1.5^$Q$50)</f>
        <v>5.6</v>
      </c>
      <c r="G197" s="86">
        <f t="shared" si="15"/>
        <v>517</v>
      </c>
      <c r="H197" s="85">
        <v>160</v>
      </c>
      <c r="I197" s="86">
        <f>6.4*(1.5^$Q$50)</f>
        <v>6.4</v>
      </c>
      <c r="J197" s="86">
        <f t="shared" si="16"/>
        <v>608</v>
      </c>
      <c r="K197" s="85">
        <v>140</v>
      </c>
      <c r="L197" s="86">
        <f>18*(1.5^$Q$50)</f>
        <v>18</v>
      </c>
      <c r="M197" s="86">
        <f t="shared" si="17"/>
        <v>1400</v>
      </c>
      <c r="N197" s="8" t="s">
        <v>443</v>
      </c>
      <c r="O197" s="8" t="s">
        <v>311</v>
      </c>
    </row>
    <row r="198" spans="1:15">
      <c r="A198" s="19" t="s">
        <v>444</v>
      </c>
      <c r="B198" s="20" t="s">
        <v>21</v>
      </c>
      <c r="C198" s="10" t="s">
        <v>140</v>
      </c>
      <c r="D198" s="84">
        <v>70</v>
      </c>
      <c r="E198" s="85">
        <v>422</v>
      </c>
      <c r="F198" s="88">
        <f>9.4*(1.5^$Q$50)</f>
        <v>9.4</v>
      </c>
      <c r="G198" s="86">
        <f t="shared" si="15"/>
        <v>1080</v>
      </c>
      <c r="H198" s="85">
        <v>25</v>
      </c>
      <c r="I198" s="86">
        <f>0.7*(1.5^$Q$50)</f>
        <v>0.7</v>
      </c>
      <c r="J198" s="86">
        <f t="shared" si="16"/>
        <v>74</v>
      </c>
      <c r="K198" s="85">
        <v>900</v>
      </c>
      <c r="L198" s="86">
        <f>28.6*(1.5^$Q$50)</f>
        <v>28.6</v>
      </c>
      <c r="M198" s="86">
        <f t="shared" si="17"/>
        <v>2902</v>
      </c>
      <c r="N198" s="8" t="s">
        <v>190</v>
      </c>
      <c r="O198" s="8" t="s">
        <v>445</v>
      </c>
    </row>
    <row r="199" spans="1:15">
      <c r="A199" s="34" t="s">
        <v>446</v>
      </c>
      <c r="B199" s="24" t="s">
        <v>16</v>
      </c>
      <c r="C199" s="10" t="s">
        <v>82</v>
      </c>
      <c r="D199" s="84">
        <v>70</v>
      </c>
      <c r="E199" s="85">
        <v>80</v>
      </c>
      <c r="F199" s="86">
        <f>4.3*(1.5^$Q$50)</f>
        <v>4.3</v>
      </c>
      <c r="G199" s="86">
        <f t="shared" si="15"/>
        <v>381</v>
      </c>
      <c r="H199" s="85">
        <v>360</v>
      </c>
      <c r="I199" s="86">
        <f>9.8*(1.5^$Q$50)</f>
        <v>9.8</v>
      </c>
      <c r="J199" s="86">
        <f t="shared" si="16"/>
        <v>1046</v>
      </c>
      <c r="K199" s="85">
        <v>240</v>
      </c>
      <c r="L199" s="86">
        <f>12*(1.5^$Q$50)</f>
        <v>12</v>
      </c>
      <c r="M199" s="86">
        <f t="shared" si="17"/>
        <v>1080</v>
      </c>
      <c r="N199" s="8" t="s">
        <v>174</v>
      </c>
      <c r="O199" s="8" t="s">
        <v>169</v>
      </c>
    </row>
    <row r="200" spans="1:15">
      <c r="A200" s="19" t="s">
        <v>447</v>
      </c>
      <c r="B200" s="24" t="s">
        <v>16</v>
      </c>
      <c r="C200" s="10" t="s">
        <v>120</v>
      </c>
      <c r="D200" s="84">
        <v>70</v>
      </c>
      <c r="E200" s="85">
        <v>90</v>
      </c>
      <c r="F200" s="86">
        <f>3.5*(1.5^$Q$50)</f>
        <v>3.5</v>
      </c>
      <c r="G200" s="86">
        <f t="shared" si="15"/>
        <v>335</v>
      </c>
      <c r="H200" s="85">
        <v>600</v>
      </c>
      <c r="I200" s="86">
        <f>9.5*(1.5^$Q$50)</f>
        <v>9.5</v>
      </c>
      <c r="J200" s="86">
        <f t="shared" si="16"/>
        <v>1265</v>
      </c>
      <c r="K200" s="85">
        <v>585</v>
      </c>
      <c r="L200" s="86">
        <f>15*(1.5^$Q$50)</f>
        <v>15</v>
      </c>
      <c r="M200" s="86">
        <f t="shared" si="17"/>
        <v>1635</v>
      </c>
      <c r="N200" s="8" t="s">
        <v>168</v>
      </c>
      <c r="O200" s="8" t="s">
        <v>368</v>
      </c>
    </row>
    <row r="201" spans="1:15">
      <c r="A201" s="8" t="s">
        <v>448</v>
      </c>
      <c r="B201" s="24" t="s">
        <v>16</v>
      </c>
      <c r="C201" s="10" t="s">
        <v>82</v>
      </c>
      <c r="N201" s="8" t="s">
        <v>449</v>
      </c>
      <c r="O201" s="8" t="s">
        <v>47</v>
      </c>
    </row>
    <row r="202" spans="1:15">
      <c r="A202" t="s">
        <v>450</v>
      </c>
      <c r="B202" s="28" t="s">
        <v>30</v>
      </c>
      <c r="C202" s="7" t="s">
        <v>82</v>
      </c>
      <c r="N202" t="s">
        <v>50</v>
      </c>
      <c r="O202" t="s">
        <v>54</v>
      </c>
    </row>
    <row r="203" spans="1:15">
      <c r="A203" t="s">
        <v>451</v>
      </c>
      <c r="B203" s="20" t="s">
        <v>21</v>
      </c>
      <c r="C203" s="7" t="s">
        <v>82</v>
      </c>
      <c r="N203" t="s">
        <v>452</v>
      </c>
      <c r="O203" t="s">
        <v>453</v>
      </c>
    </row>
    <row r="204" spans="1:15">
      <c r="A204" t="s">
        <v>454</v>
      </c>
      <c r="B204" s="23" t="s">
        <v>26</v>
      </c>
      <c r="C204" s="7" t="s">
        <v>82</v>
      </c>
      <c r="N204" t="s">
        <v>44</v>
      </c>
      <c r="O204" t="s">
        <v>91</v>
      </c>
    </row>
  </sheetData>
  <autoFilter xmlns:etc="http://www.wps.cn/officeDocument/2017/etCustomData" ref="A1:R204" etc:filterBottomFollowUsedRange="0">
    <sortState ref="A1:R204">
      <sortCondition ref="A1"/>
    </sortState>
    <extLst/>
  </autoFilter>
  <sortState ref="A1:O192">
    <sortCondition ref="B1:B192" sortBy="cellColor" dxfId="0"/>
    <sortCondition ref="B1:B192" sortBy="cellColor" dxfId="1"/>
    <sortCondition ref="B1:B192" sortBy="cellColor" dxfId="2"/>
    <sortCondition ref="B1:B192" sortBy="cellColor" dxfId="3"/>
    <sortCondition ref="A1:A192" sortBy="cellColor" dxfId="4"/>
    <sortCondition ref="A1:A192" sortBy="cellColor" dxfId="5"/>
    <sortCondition ref="A1:A192" sortBy="cellColor" dxfId="6"/>
    <sortCondition ref="A1:A192" sortBy="cellColor" dxfId="7"/>
    <sortCondition ref="A1:A192" sortBy="cellColor" dxfId="8"/>
    <sortCondition ref="I1:I19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190" zoomScaleNormal="190" workbookViewId="0">
      <selection activeCell="D7" sqref="D7"/>
    </sheetView>
  </sheetViews>
  <sheetFormatPr defaultColWidth="9" defaultRowHeight="14.25" outlineLevelCol="4"/>
  <cols>
    <col min="1" max="1" width="14" style="77" customWidth="1"/>
    <col min="2" max="2" width="14" customWidth="1"/>
    <col min="3" max="3" width="25.875" customWidth="1"/>
    <col min="4" max="4" width="22" customWidth="1"/>
    <col min="5" max="5" width="42.125" customWidth="1"/>
  </cols>
  <sheetData>
    <row r="1" spans="1:5">
      <c r="A1" s="77" t="s">
        <v>455</v>
      </c>
      <c r="B1" s="8" t="s">
        <v>1</v>
      </c>
      <c r="C1" s="8" t="s">
        <v>456</v>
      </c>
      <c r="D1" s="8" t="s">
        <v>457</v>
      </c>
      <c r="E1" s="8" t="s">
        <v>458</v>
      </c>
    </row>
    <row r="2" spans="1:5">
      <c r="A2" s="77" t="s">
        <v>459</v>
      </c>
      <c r="B2" s="77" t="s">
        <v>26</v>
      </c>
      <c r="C2" s="78">
        <v>0.15</v>
      </c>
      <c r="D2" s="78">
        <v>0.15</v>
      </c>
      <c r="E2" s="79">
        <v>0.15</v>
      </c>
    </row>
    <row r="3" spans="1:5">
      <c r="A3" s="77" t="s">
        <v>460</v>
      </c>
      <c r="B3" s="77" t="s">
        <v>30</v>
      </c>
      <c r="C3" s="78">
        <v>0.15</v>
      </c>
      <c r="D3" s="78">
        <v>0.15</v>
      </c>
      <c r="E3" s="79">
        <v>0.15</v>
      </c>
    </row>
    <row r="4" spans="1:5">
      <c r="A4" s="77" t="s">
        <v>461</v>
      </c>
      <c r="B4" s="77" t="s">
        <v>16</v>
      </c>
      <c r="C4" s="79">
        <v>0.15</v>
      </c>
      <c r="D4" s="79">
        <v>0.15</v>
      </c>
      <c r="E4" s="79">
        <v>0.15</v>
      </c>
    </row>
    <row r="5" spans="1:5">
      <c r="A5" s="77" t="s">
        <v>462</v>
      </c>
      <c r="B5" s="77" t="s">
        <v>21</v>
      </c>
      <c r="C5" s="79">
        <v>0.15</v>
      </c>
      <c r="D5" s="79">
        <v>0.15</v>
      </c>
      <c r="E5" s="79">
        <v>0.15</v>
      </c>
    </row>
    <row r="6" spans="1:5">
      <c r="A6" s="77" t="s">
        <v>463</v>
      </c>
      <c r="B6" s="77" t="s">
        <v>26</v>
      </c>
      <c r="C6" s="79">
        <v>0.2</v>
      </c>
      <c r="D6" s="80">
        <v>0</v>
      </c>
      <c r="E6" s="80">
        <v>0</v>
      </c>
    </row>
    <row r="7" spans="1:5">
      <c r="A7" s="77" t="s">
        <v>464</v>
      </c>
      <c r="B7" s="77" t="s">
        <v>30</v>
      </c>
      <c r="C7" s="81">
        <v>15</v>
      </c>
      <c r="D7" s="79">
        <v>0.15</v>
      </c>
      <c r="E7" s="79">
        <v>0.15</v>
      </c>
    </row>
    <row r="8" spans="1:5">
      <c r="A8" s="77" t="s">
        <v>465</v>
      </c>
      <c r="B8" s="82" t="s">
        <v>16</v>
      </c>
      <c r="C8" s="82">
        <v>0.15</v>
      </c>
      <c r="D8" s="82">
        <v>0.15</v>
      </c>
      <c r="E8" s="82">
        <v>0.15</v>
      </c>
    </row>
    <row r="9" spans="1:5">
      <c r="A9" s="77" t="s">
        <v>466</v>
      </c>
      <c r="B9" s="82" t="s">
        <v>21</v>
      </c>
      <c r="C9" s="79">
        <v>0.15</v>
      </c>
      <c r="D9" s="82">
        <v>0.15</v>
      </c>
      <c r="E9" s="82">
        <v>0.15</v>
      </c>
    </row>
    <row r="10" spans="1:5">
      <c r="A10" s="77" t="s">
        <v>467</v>
      </c>
      <c r="B10" s="82" t="s">
        <v>21</v>
      </c>
      <c r="C10" s="82">
        <v>0.5</v>
      </c>
      <c r="D10" s="82">
        <v>0.5</v>
      </c>
      <c r="E10" s="82">
        <v>0.5</v>
      </c>
    </row>
    <row r="11" spans="1:5">
      <c r="A11" s="77" t="s">
        <v>468</v>
      </c>
      <c r="B11" s="82" t="s">
        <v>469</v>
      </c>
      <c r="C11" s="82">
        <v>0.55</v>
      </c>
      <c r="D11" s="82">
        <v>0.55</v>
      </c>
      <c r="E11" s="82">
        <v>0.55</v>
      </c>
    </row>
    <row r="12" spans="1:5">
      <c r="A12" s="77" t="s">
        <v>470</v>
      </c>
      <c r="B12" s="82" t="s">
        <v>16</v>
      </c>
      <c r="C12" s="82">
        <v>0.17</v>
      </c>
      <c r="D12" s="82">
        <v>0.17</v>
      </c>
      <c r="E12" s="82">
        <v>0.17</v>
      </c>
    </row>
    <row r="13" spans="1:5">
      <c r="A13" s="77" t="s">
        <v>471</v>
      </c>
      <c r="B13" s="82" t="s">
        <v>21</v>
      </c>
      <c r="C13" s="82">
        <v>1</v>
      </c>
      <c r="D13" s="82">
        <v>0.8</v>
      </c>
      <c r="E13" s="82">
        <v>0</v>
      </c>
    </row>
    <row r="14" spans="1:5">
      <c r="A14" s="77" t="s">
        <v>472</v>
      </c>
      <c r="B14" s="82" t="s">
        <v>26</v>
      </c>
      <c r="C14" s="82">
        <v>1</v>
      </c>
      <c r="D14" s="82">
        <v>1</v>
      </c>
      <c r="E14" s="82">
        <v>0</v>
      </c>
    </row>
    <row r="15" spans="1:5">
      <c r="A15" s="77" t="s">
        <v>473</v>
      </c>
      <c r="B15" s="82" t="s">
        <v>30</v>
      </c>
      <c r="C15" s="82">
        <v>0.5</v>
      </c>
      <c r="D15" s="82">
        <v>0.5</v>
      </c>
      <c r="E15" s="82">
        <v>0.5</v>
      </c>
    </row>
    <row r="16" spans="1:5">
      <c r="A16" s="77" t="s">
        <v>474</v>
      </c>
      <c r="B16" s="82" t="s">
        <v>16</v>
      </c>
      <c r="C16" s="82">
        <v>0.5</v>
      </c>
      <c r="D16" s="82">
        <v>1</v>
      </c>
      <c r="E16" s="82">
        <v>0.5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69"/>
  <sheetViews>
    <sheetView tabSelected="1" zoomScale="90" zoomScaleNormal="90" workbookViewId="0">
      <pane ySplit="1" topLeftCell="A131" activePane="bottomLeft" state="frozen"/>
      <selection/>
      <selection pane="bottomLeft" activeCell="D136" sqref="D136"/>
    </sheetView>
  </sheetViews>
  <sheetFormatPr defaultColWidth="9" defaultRowHeight="14.25"/>
  <cols>
    <col min="1" max="1" width="18.4166666666667" style="57" customWidth="1"/>
    <col min="2" max="2" width="9" style="58"/>
    <col min="3" max="3" width="10" style="58" customWidth="1"/>
    <col min="4" max="4" width="10.6666666666667" style="59" customWidth="1"/>
    <col min="5" max="5" width="11.5" style="59" customWidth="1"/>
    <col min="6" max="6" width="10.4166666666667" style="58" customWidth="1"/>
    <col min="7" max="7" width="9" style="58"/>
    <col min="8" max="10" width="10.9166666666667" style="58" customWidth="1"/>
    <col min="11" max="11" width="12.0833333333333" style="58" customWidth="1"/>
    <col min="12" max="12" width="8.66666666666667" style="58" customWidth="1"/>
    <col min="13" max="13" width="10.5" style="58" customWidth="1"/>
    <col min="14" max="14" width="12.1666666666667" style="58" customWidth="1"/>
    <col min="15" max="15" width="11.4166666666667" style="58" customWidth="1"/>
    <col min="16" max="16" width="12" style="58" customWidth="1"/>
    <col min="17" max="17" width="9" style="58"/>
    <col min="18" max="18" width="10.8333333333333" style="58" customWidth="1"/>
    <col min="19" max="19" width="12.75" style="58" customWidth="1"/>
    <col min="20" max="20" width="10.25" style="58" customWidth="1"/>
    <col min="21" max="21" width="9" style="58"/>
    <col min="22" max="22" width="15.4166666666667" style="60" customWidth="1"/>
    <col min="23" max="24" width="9" style="58"/>
    <col min="25" max="25" width="13.9166666666667" style="58" customWidth="1"/>
    <col min="26" max="27" width="9" style="58"/>
    <col min="28" max="28" width="15.8333333333333" style="58" customWidth="1"/>
    <col min="29" max="30" width="9" style="58"/>
    <col min="31" max="31" width="13.8333333333333" style="58" customWidth="1"/>
    <col min="32" max="33" width="9" style="58"/>
    <col min="34" max="34" width="14.75" style="58" customWidth="1"/>
    <col min="35" max="35" width="10.3333333333333" style="58" customWidth="1"/>
    <col min="36" max="36" width="10.8333333333333" style="58" customWidth="1"/>
    <col min="37" max="37" width="9" style="58"/>
    <col min="38" max="38" width="13.0833333333333" style="58" customWidth="1"/>
    <col min="39" max="39" width="9" style="58"/>
    <col min="40" max="40" width="13.5" style="58" customWidth="1"/>
    <col min="41" max="41" width="9.66666666666667" style="58" customWidth="1"/>
    <col min="42" max="42" width="9.83333333333333" style="58" customWidth="1"/>
    <col min="43" max="43" width="9.5" style="58" customWidth="1"/>
    <col min="44" max="44" width="16.1666666666667" style="58" customWidth="1"/>
    <col min="45" max="45" width="12.25" style="58" customWidth="1"/>
    <col min="46" max="46" width="12" style="58" customWidth="1"/>
    <col min="47" max="47" width="11.8333333333333" style="58" customWidth="1"/>
    <col min="48" max="48" width="15.4166666666667" style="58" customWidth="1"/>
    <col min="49" max="49" width="10.0833333333333" style="58" customWidth="1"/>
    <col min="50" max="50" width="9" style="58"/>
    <col min="51" max="51" width="9.75" style="58" customWidth="1"/>
    <col min="52" max="16384" width="9" style="58"/>
  </cols>
  <sheetData>
    <row r="1" s="56" customFormat="1" spans="1:50">
      <c r="A1" s="57" t="s">
        <v>475</v>
      </c>
      <c r="B1" s="61" t="s">
        <v>1</v>
      </c>
      <c r="C1" s="61" t="s">
        <v>476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56"/>
      <c r="V1" s="56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N1" s="62"/>
    </row>
    <row r="2" ht="14" customHeight="1" spans="1:50">
      <c r="A2" s="57" t="s">
        <v>477</v>
      </c>
      <c r="B2" s="57" t="s">
        <v>26</v>
      </c>
      <c r="C2" s="63">
        <v>0.39</v>
      </c>
      <c r="G2" s="59"/>
      <c r="H2" s="59"/>
      <c r="I2" s="59"/>
      <c r="J2" s="59"/>
      <c r="L2" s="59"/>
      <c r="M2" s="59"/>
      <c r="N2" s="59"/>
      <c r="O2" s="59"/>
      <c r="Q2" s="59"/>
      <c r="R2" s="59"/>
      <c r="S2" s="59"/>
      <c r="T2" s="59"/>
      <c r="X2" s="64"/>
      <c r="Y2" s="65"/>
      <c r="AA2" s="64"/>
      <c r="AB2" s="66"/>
      <c r="AD2" s="64"/>
      <c r="AE2" s="67"/>
      <c r="AG2" s="64"/>
      <c r="AH2" s="68"/>
      <c r="AI2" s="69"/>
      <c r="AJ2" s="70"/>
      <c r="AK2" s="70"/>
      <c r="AL2" s="71"/>
      <c r="AO2" s="64"/>
      <c r="AP2" s="64"/>
      <c r="AQ2" s="64"/>
      <c r="AR2" s="64"/>
      <c r="AS2" s="64"/>
      <c r="AT2" s="64"/>
      <c r="AU2" s="64"/>
      <c r="AV2" s="64"/>
      <c r="AW2" s="64"/>
      <c r="AX2" s="64"/>
    </row>
    <row r="3" spans="1:50">
      <c r="A3" s="57" t="s">
        <v>478</v>
      </c>
      <c r="B3" s="57" t="s">
        <v>26</v>
      </c>
      <c r="C3" s="63">
        <v>0.37</v>
      </c>
      <c r="F3" s="59"/>
      <c r="G3" s="59"/>
      <c r="H3" s="72"/>
      <c r="I3" s="59"/>
      <c r="J3" s="59"/>
      <c r="K3" s="59"/>
      <c r="L3" s="59"/>
      <c r="M3" s="72"/>
      <c r="N3" s="59"/>
      <c r="O3" s="59"/>
      <c r="P3" s="59"/>
      <c r="Q3" s="59"/>
      <c r="R3" s="72"/>
      <c r="S3" s="59"/>
      <c r="T3" s="59"/>
      <c r="X3" s="64"/>
      <c r="Y3" s="65"/>
      <c r="AA3" s="64"/>
      <c r="AB3" s="66"/>
      <c r="AD3" s="64"/>
      <c r="AE3" s="67"/>
      <c r="AG3" s="64"/>
      <c r="AH3" s="68"/>
      <c r="AI3" s="69"/>
      <c r="AJ3" s="70"/>
      <c r="AK3" s="70"/>
      <c r="AL3" s="71"/>
      <c r="AO3" s="64"/>
      <c r="AP3" s="64"/>
      <c r="AQ3" s="64"/>
      <c r="AR3" s="64"/>
      <c r="AS3" s="64"/>
      <c r="AT3" s="64"/>
      <c r="AU3" s="64"/>
      <c r="AV3" s="64"/>
      <c r="AW3" s="64"/>
      <c r="AX3" s="64"/>
    </row>
    <row r="4" ht="14" customHeight="1" spans="1:50">
      <c r="A4" s="57" t="s">
        <v>479</v>
      </c>
      <c r="B4" s="57" t="s">
        <v>26</v>
      </c>
      <c r="C4" s="63">
        <v>0.43</v>
      </c>
      <c r="F4" s="59"/>
      <c r="G4" s="59"/>
      <c r="H4" s="72"/>
      <c r="I4" s="59"/>
      <c r="J4" s="59"/>
      <c r="K4" s="59"/>
      <c r="L4" s="59"/>
      <c r="M4" s="72"/>
      <c r="N4" s="59"/>
      <c r="O4" s="59"/>
      <c r="P4" s="59"/>
      <c r="Q4" s="59"/>
      <c r="R4" s="72"/>
      <c r="S4" s="59"/>
      <c r="T4" s="59"/>
      <c r="X4" s="64"/>
      <c r="Y4" s="65"/>
      <c r="AA4" s="64"/>
      <c r="AB4" s="66"/>
      <c r="AD4" s="64"/>
      <c r="AE4" s="67"/>
      <c r="AG4" s="64"/>
      <c r="AH4" s="68"/>
      <c r="AI4" s="69"/>
      <c r="AJ4" s="71"/>
      <c r="AK4" s="71"/>
      <c r="AL4" s="71"/>
    </row>
    <row r="5" spans="1:50">
      <c r="A5" s="57" t="s">
        <v>480</v>
      </c>
      <c r="B5" s="57" t="s">
        <v>26</v>
      </c>
      <c r="C5" s="63">
        <v>0.55</v>
      </c>
      <c r="F5" s="59"/>
      <c r="G5" s="59"/>
      <c r="H5" s="73"/>
      <c r="I5" s="59"/>
      <c r="J5" s="59"/>
      <c r="K5" s="59"/>
      <c r="L5" s="59"/>
      <c r="M5" s="73"/>
      <c r="N5" s="59"/>
      <c r="O5" s="59"/>
      <c r="P5" s="59"/>
      <c r="Q5" s="59"/>
      <c r="R5" s="72"/>
      <c r="S5" s="59"/>
      <c r="T5" s="59"/>
      <c r="X5" s="64"/>
      <c r="Y5" s="65"/>
      <c r="AA5" s="64"/>
      <c r="AB5" s="66"/>
      <c r="AD5" s="64"/>
      <c r="AE5" s="67"/>
      <c r="AG5" s="64"/>
      <c r="AH5" s="68"/>
      <c r="AI5" s="69"/>
      <c r="AJ5" s="71"/>
      <c r="AK5" s="71"/>
      <c r="AL5" s="71"/>
    </row>
    <row r="6" spans="1:50">
      <c r="A6" s="57" t="s">
        <v>481</v>
      </c>
      <c r="B6" s="57" t="s">
        <v>26</v>
      </c>
      <c r="C6" s="63">
        <v>0.25</v>
      </c>
      <c r="F6" s="59"/>
      <c r="G6" s="59"/>
      <c r="H6" s="73"/>
      <c r="I6" s="59"/>
      <c r="J6" s="59"/>
      <c r="K6" s="59"/>
      <c r="L6" s="59"/>
      <c r="M6" s="73"/>
      <c r="N6" s="59"/>
      <c r="O6" s="59"/>
      <c r="P6" s="59"/>
      <c r="Q6" s="59"/>
      <c r="R6" s="72"/>
      <c r="S6" s="59"/>
      <c r="T6" s="59"/>
      <c r="X6" s="64"/>
      <c r="AE6" s="67"/>
      <c r="AG6" s="64"/>
      <c r="AH6" s="74"/>
      <c r="AI6" s="64"/>
      <c r="AJ6" s="64"/>
      <c r="AK6" s="64"/>
      <c r="AL6" s="64"/>
    </row>
    <row r="7" spans="1:50">
      <c r="A7" s="57" t="s">
        <v>482</v>
      </c>
      <c r="B7" s="57" t="s">
        <v>26</v>
      </c>
      <c r="C7" s="63">
        <v>0.11</v>
      </c>
      <c r="F7" s="59"/>
      <c r="G7" s="59"/>
      <c r="H7" s="72"/>
      <c r="I7" s="59"/>
      <c r="J7" s="59"/>
      <c r="K7" s="59"/>
      <c r="L7" s="59"/>
      <c r="M7" s="72"/>
      <c r="N7" s="59"/>
      <c r="O7" s="59"/>
      <c r="P7" s="59"/>
      <c r="Q7" s="59"/>
      <c r="R7" s="73"/>
      <c r="S7" s="59"/>
      <c r="T7" s="59"/>
      <c r="X7" s="64"/>
      <c r="Y7" s="65"/>
      <c r="AA7" s="64"/>
      <c r="AB7" s="66"/>
      <c r="AD7" s="64"/>
      <c r="AE7" s="67"/>
      <c r="AG7" s="64"/>
      <c r="AH7" s="74"/>
      <c r="AI7" s="64"/>
      <c r="AJ7" s="64"/>
      <c r="AK7" s="64"/>
      <c r="AL7" s="64"/>
    </row>
    <row r="8" spans="1:50">
      <c r="A8" s="57" t="s">
        <v>483</v>
      </c>
      <c r="B8" s="57" t="s">
        <v>26</v>
      </c>
      <c r="C8" s="63">
        <v>0.56</v>
      </c>
      <c r="F8" s="59"/>
      <c r="G8" s="59"/>
      <c r="H8" s="72"/>
      <c r="I8" s="59"/>
      <c r="J8" s="59"/>
      <c r="K8" s="59"/>
      <c r="L8" s="59"/>
      <c r="M8" s="72"/>
      <c r="N8" s="59"/>
      <c r="O8" s="59"/>
      <c r="P8" s="59"/>
      <c r="Q8" s="59"/>
      <c r="R8" s="73"/>
      <c r="S8" s="59"/>
      <c r="T8" s="59"/>
      <c r="X8" s="64"/>
      <c r="Y8" s="65"/>
      <c r="AA8" s="64"/>
      <c r="AB8" s="66"/>
      <c r="AD8" s="64"/>
      <c r="AE8" s="67"/>
      <c r="AG8" s="64"/>
      <c r="AH8" s="74"/>
      <c r="AI8" s="64"/>
      <c r="AJ8" s="64"/>
      <c r="AK8" s="64"/>
      <c r="AL8" s="64"/>
    </row>
    <row r="9" spans="1:50">
      <c r="A9" s="57" t="s">
        <v>484</v>
      </c>
      <c r="B9" s="57" t="s">
        <v>26</v>
      </c>
      <c r="C9" s="63">
        <v>0.13</v>
      </c>
      <c r="F9" s="59"/>
      <c r="G9" s="59"/>
      <c r="H9" s="72"/>
      <c r="I9" s="59"/>
      <c r="J9" s="59"/>
      <c r="K9" s="59"/>
      <c r="L9" s="59"/>
      <c r="M9" s="72"/>
      <c r="N9" s="59"/>
      <c r="O9" s="59"/>
      <c r="P9" s="59"/>
      <c r="Q9" s="59"/>
      <c r="R9" s="72"/>
      <c r="S9" s="59"/>
      <c r="T9" s="59"/>
      <c r="X9" s="64"/>
      <c r="Y9" s="65"/>
      <c r="AA9" s="64"/>
      <c r="AB9" s="66"/>
      <c r="AD9" s="64"/>
      <c r="AE9" s="67"/>
      <c r="AG9" s="64"/>
      <c r="AH9" s="74"/>
      <c r="AI9" s="64"/>
      <c r="AJ9" s="64"/>
      <c r="AK9" s="64"/>
      <c r="AL9" s="64"/>
      <c r="AO9" s="75"/>
      <c r="AP9" s="75"/>
      <c r="AQ9" s="75"/>
      <c r="AR9" s="75"/>
      <c r="AS9" s="75"/>
      <c r="AT9" s="75"/>
      <c r="AU9" s="75"/>
      <c r="AV9" s="75"/>
    </row>
    <row r="10" spans="1:50">
      <c r="A10" s="57" t="s">
        <v>485</v>
      </c>
      <c r="B10" s="57" t="s">
        <v>26</v>
      </c>
      <c r="C10" s="63">
        <v>0.09</v>
      </c>
      <c r="F10" s="59"/>
      <c r="G10" s="59"/>
      <c r="H10" s="72"/>
      <c r="I10" s="59"/>
      <c r="J10" s="59"/>
      <c r="K10" s="59"/>
      <c r="L10" s="59"/>
      <c r="M10" s="72"/>
      <c r="N10" s="59"/>
      <c r="O10" s="59"/>
      <c r="P10" s="59"/>
      <c r="Q10" s="59"/>
      <c r="R10" s="72"/>
      <c r="S10" s="59"/>
      <c r="T10" s="59"/>
      <c r="X10" s="64"/>
      <c r="AH10" s="74"/>
      <c r="AI10" s="64"/>
      <c r="AJ10" s="64"/>
      <c r="AK10" s="64"/>
      <c r="AL10" s="64"/>
      <c r="AO10" s="75"/>
      <c r="AP10" s="75"/>
      <c r="AQ10" s="75"/>
      <c r="AR10" s="75"/>
      <c r="AS10" s="75"/>
      <c r="AT10" s="75"/>
      <c r="AU10" s="75"/>
      <c r="AV10" s="75"/>
    </row>
    <row r="11" spans="1:50">
      <c r="A11" s="57" t="s">
        <v>486</v>
      </c>
      <c r="B11" s="57" t="s">
        <v>26</v>
      </c>
      <c r="C11" s="63">
        <v>0.37</v>
      </c>
      <c r="F11" s="59"/>
      <c r="G11" s="59"/>
      <c r="H11" s="72"/>
      <c r="I11" s="59"/>
      <c r="J11" s="59"/>
      <c r="K11" s="59"/>
      <c r="L11" s="59"/>
      <c r="M11" s="72"/>
      <c r="N11" s="59"/>
      <c r="O11" s="59"/>
      <c r="P11" s="59"/>
      <c r="Q11" s="59"/>
      <c r="R11" s="72"/>
      <c r="S11" s="59"/>
      <c r="T11" s="59"/>
      <c r="X11" s="64"/>
      <c r="AA11" s="64"/>
      <c r="AB11" s="66"/>
      <c r="AD11" s="64"/>
      <c r="AE11" s="67"/>
      <c r="AG11" s="64"/>
      <c r="AH11" s="74"/>
      <c r="AJ11" s="64"/>
      <c r="AK11" s="76"/>
      <c r="AL11" s="76"/>
      <c r="AO11" s="75"/>
      <c r="AP11" s="75"/>
      <c r="AQ11" s="75"/>
      <c r="AR11" s="75"/>
      <c r="AS11" s="75"/>
      <c r="AT11" s="75"/>
      <c r="AU11" s="75"/>
      <c r="AV11" s="75"/>
    </row>
    <row r="12" spans="1:50">
      <c r="A12" s="57" t="s">
        <v>487</v>
      </c>
      <c r="B12" s="57" t="s">
        <v>26</v>
      </c>
      <c r="C12" s="63">
        <v>0.05</v>
      </c>
      <c r="F12" s="59"/>
      <c r="G12" s="59"/>
      <c r="H12" s="72"/>
      <c r="I12" s="59"/>
      <c r="J12" s="59"/>
      <c r="K12" s="59"/>
      <c r="L12" s="59"/>
      <c r="M12" s="72"/>
      <c r="N12" s="59"/>
      <c r="O12" s="59"/>
      <c r="P12" s="59"/>
      <c r="Q12" s="59"/>
      <c r="R12" s="72"/>
      <c r="S12" s="59"/>
      <c r="T12" s="59"/>
      <c r="X12" s="64"/>
      <c r="Y12" s="65"/>
      <c r="AA12" s="64"/>
      <c r="AB12" s="66"/>
      <c r="AD12" s="64"/>
      <c r="AE12" s="67"/>
      <c r="AG12" s="64"/>
    </row>
    <row r="13" spans="1:50">
      <c r="A13" s="57" t="s">
        <v>488</v>
      </c>
      <c r="B13" s="57" t="s">
        <v>26</v>
      </c>
      <c r="C13" s="63">
        <v>0.49</v>
      </c>
      <c r="F13" s="59"/>
      <c r="G13" s="59"/>
      <c r="H13" s="72"/>
      <c r="I13" s="59"/>
      <c r="J13" s="59"/>
      <c r="K13" s="59"/>
      <c r="L13" s="59"/>
      <c r="M13" s="59"/>
      <c r="N13" s="59"/>
      <c r="O13" s="59"/>
      <c r="P13" s="59"/>
      <c r="Q13" s="59"/>
      <c r="R13" s="72"/>
      <c r="S13" s="59"/>
      <c r="T13" s="59"/>
      <c r="X13" s="64"/>
      <c r="Y13" s="65"/>
      <c r="AA13" s="64"/>
      <c r="AB13" s="66"/>
      <c r="AD13" s="64"/>
      <c r="AE13" s="67"/>
      <c r="AG13" s="64"/>
    </row>
    <row r="14" spans="1:50">
      <c r="A14" s="57" t="s">
        <v>489</v>
      </c>
      <c r="B14" s="57" t="s">
        <v>26</v>
      </c>
      <c r="C14" s="63">
        <v>0.45</v>
      </c>
      <c r="F14" s="59"/>
      <c r="G14" s="59"/>
      <c r="H14" s="72"/>
      <c r="I14" s="59"/>
      <c r="J14" s="59"/>
      <c r="K14" s="59"/>
      <c r="L14" s="59"/>
      <c r="M14" s="72"/>
      <c r="N14" s="59"/>
      <c r="O14" s="59"/>
      <c r="P14" s="59"/>
      <c r="Q14" s="59"/>
      <c r="R14" s="72"/>
      <c r="S14" s="59"/>
      <c r="T14" s="59"/>
      <c r="X14" s="64"/>
      <c r="Y14" s="65"/>
      <c r="AA14" s="64"/>
      <c r="AB14" s="66"/>
      <c r="AD14" s="64"/>
      <c r="AE14" s="67"/>
      <c r="AG14" s="64"/>
    </row>
    <row r="15" spans="1:50">
      <c r="A15" s="57" t="s">
        <v>490</v>
      </c>
      <c r="B15" s="57" t="s">
        <v>26</v>
      </c>
      <c r="C15" s="63">
        <v>0.41</v>
      </c>
      <c r="F15" s="59"/>
      <c r="G15" s="59"/>
      <c r="H15" s="72"/>
      <c r="I15" s="59"/>
      <c r="J15" s="59"/>
      <c r="K15" s="59"/>
      <c r="L15" s="59"/>
      <c r="M15" s="72"/>
      <c r="N15" s="59"/>
      <c r="O15" s="59"/>
      <c r="P15" s="59"/>
      <c r="Q15" s="59"/>
      <c r="R15" s="72"/>
      <c r="S15" s="59"/>
      <c r="T15" s="59"/>
      <c r="X15" s="64"/>
      <c r="AA15" s="64"/>
      <c r="AB15" s="66"/>
      <c r="AD15" s="64"/>
      <c r="AE15" s="67"/>
      <c r="AG15" s="64"/>
    </row>
    <row r="16" spans="1:50">
      <c r="A16" s="57" t="s">
        <v>491</v>
      </c>
      <c r="B16" s="57" t="s">
        <v>26</v>
      </c>
      <c r="C16" s="63">
        <v>0.45</v>
      </c>
      <c r="F16" s="59"/>
      <c r="G16" s="59"/>
      <c r="H16" s="72"/>
      <c r="I16" s="59"/>
      <c r="J16" s="59"/>
      <c r="K16" s="59"/>
      <c r="L16" s="59"/>
      <c r="M16" s="72"/>
      <c r="N16" s="59"/>
      <c r="O16" s="59"/>
      <c r="P16" s="59"/>
      <c r="Q16" s="59"/>
      <c r="R16" s="72"/>
      <c r="S16" s="59"/>
      <c r="T16" s="59"/>
      <c r="X16" s="64"/>
      <c r="AB16" s="66"/>
      <c r="AD16" s="64"/>
      <c r="AE16" s="67"/>
      <c r="AG16" s="64"/>
    </row>
    <row r="17" spans="1:33">
      <c r="A17" s="57" t="s">
        <v>492</v>
      </c>
      <c r="B17" s="57" t="s">
        <v>26</v>
      </c>
      <c r="C17" s="63">
        <v>0.07</v>
      </c>
      <c r="F17" s="59"/>
      <c r="G17" s="59"/>
      <c r="H17" s="72"/>
      <c r="I17" s="59"/>
      <c r="J17" s="59"/>
      <c r="K17" s="59"/>
      <c r="L17" s="59"/>
      <c r="M17" s="72"/>
      <c r="N17" s="59"/>
      <c r="O17" s="59"/>
      <c r="P17" s="59"/>
      <c r="Q17" s="59"/>
      <c r="R17" s="72"/>
      <c r="S17" s="59"/>
      <c r="T17" s="59"/>
      <c r="X17" s="64"/>
      <c r="Y17" s="65"/>
      <c r="AA17" s="64"/>
      <c r="AB17" s="66"/>
      <c r="AD17" s="64"/>
      <c r="AE17" s="67"/>
      <c r="AG17" s="64"/>
    </row>
    <row r="18" spans="1:33">
      <c r="A18" s="57" t="s">
        <v>493</v>
      </c>
      <c r="B18" s="57" t="s">
        <v>26</v>
      </c>
      <c r="C18" s="63">
        <v>0.57</v>
      </c>
      <c r="F18" s="59"/>
      <c r="G18" s="59"/>
      <c r="H18" s="72"/>
      <c r="I18" s="59"/>
      <c r="J18" s="59"/>
      <c r="K18" s="59"/>
      <c r="L18" s="59"/>
      <c r="M18" s="72"/>
      <c r="N18" s="59"/>
      <c r="O18" s="59"/>
      <c r="P18" s="59"/>
      <c r="Q18" s="59"/>
      <c r="R18" s="72"/>
      <c r="S18" s="59"/>
      <c r="T18" s="59"/>
      <c r="X18" s="64"/>
      <c r="Y18" s="65"/>
      <c r="AA18" s="64"/>
      <c r="AB18" s="66"/>
      <c r="AD18" s="64"/>
      <c r="AE18" s="67"/>
      <c r="AG18" s="64"/>
    </row>
    <row r="19" spans="1:33">
      <c r="A19" s="57" t="s">
        <v>494</v>
      </c>
      <c r="B19" s="57" t="s">
        <v>26</v>
      </c>
      <c r="C19" s="63">
        <v>0.62</v>
      </c>
      <c r="F19" s="59"/>
      <c r="G19" s="59"/>
      <c r="H19" s="72"/>
      <c r="I19" s="59"/>
      <c r="J19" s="59"/>
      <c r="K19" s="59"/>
      <c r="L19" s="59"/>
      <c r="M19" s="72"/>
      <c r="N19" s="59"/>
      <c r="O19" s="59"/>
      <c r="P19" s="59"/>
      <c r="Q19" s="59"/>
      <c r="R19" s="72"/>
      <c r="S19" s="59"/>
      <c r="T19" s="59"/>
      <c r="V19" s="58"/>
      <c r="X19" s="64"/>
    </row>
    <row r="20" spans="1:33">
      <c r="A20" s="57" t="s">
        <v>495</v>
      </c>
      <c r="B20" s="57" t="s">
        <v>26</v>
      </c>
      <c r="C20" s="63">
        <v>0.33</v>
      </c>
      <c r="F20" s="59"/>
      <c r="G20" s="59"/>
      <c r="H20" s="72"/>
      <c r="I20" s="59"/>
      <c r="J20" s="59"/>
      <c r="K20" s="59"/>
      <c r="L20" s="59"/>
      <c r="M20" s="72"/>
      <c r="N20" s="59"/>
      <c r="O20" s="59"/>
      <c r="P20" s="59"/>
      <c r="Q20" s="59"/>
      <c r="R20" s="72"/>
      <c r="S20" s="59"/>
      <c r="T20" s="59"/>
      <c r="X20" s="64"/>
      <c r="Y20" s="65"/>
      <c r="AA20" s="64"/>
      <c r="AB20" s="66"/>
      <c r="AD20" s="64"/>
      <c r="AE20" s="67"/>
      <c r="AG20" s="64"/>
    </row>
    <row r="21" spans="1:33">
      <c r="A21" s="57" t="s">
        <v>496</v>
      </c>
      <c r="B21" s="57" t="s">
        <v>26</v>
      </c>
      <c r="C21" s="63">
        <v>0.27</v>
      </c>
      <c r="F21" s="59"/>
      <c r="G21" s="59"/>
      <c r="H21" s="72"/>
      <c r="I21" s="59"/>
      <c r="J21" s="59"/>
      <c r="K21" s="59"/>
      <c r="L21" s="59"/>
      <c r="M21" s="72"/>
      <c r="N21" s="59"/>
      <c r="O21" s="59"/>
      <c r="P21" s="59"/>
      <c r="Q21" s="59"/>
      <c r="R21" s="72"/>
      <c r="S21" s="59"/>
      <c r="T21" s="59"/>
      <c r="X21" s="64"/>
      <c r="Y21" s="65"/>
      <c r="AA21" s="64"/>
      <c r="AB21" s="66"/>
      <c r="AD21" s="64"/>
      <c r="AE21" s="67"/>
      <c r="AG21" s="64"/>
    </row>
    <row r="22" spans="1:33">
      <c r="A22" s="57" t="s">
        <v>497</v>
      </c>
      <c r="B22" s="57" t="s">
        <v>26</v>
      </c>
      <c r="C22" s="63">
        <v>0.45</v>
      </c>
      <c r="F22" s="59"/>
      <c r="G22" s="59"/>
      <c r="H22" s="72"/>
      <c r="I22" s="59"/>
      <c r="J22" s="59"/>
      <c r="K22" s="59"/>
      <c r="L22" s="59"/>
      <c r="M22" s="72"/>
      <c r="N22" s="59"/>
      <c r="O22" s="59"/>
      <c r="P22" s="59"/>
      <c r="Q22" s="59"/>
      <c r="R22" s="72"/>
      <c r="S22" s="59"/>
      <c r="T22" s="59"/>
      <c r="V22" s="58"/>
      <c r="X22" s="64"/>
      <c r="AA22" s="64"/>
      <c r="AD22" s="64"/>
      <c r="AE22" s="67"/>
      <c r="AG22" s="64"/>
    </row>
    <row r="23" spans="1:33">
      <c r="A23" s="57" t="s">
        <v>498</v>
      </c>
      <c r="B23" s="57" t="s">
        <v>26</v>
      </c>
      <c r="C23" s="63">
        <v>0.51</v>
      </c>
      <c r="F23" s="59"/>
      <c r="G23" s="59"/>
      <c r="H23" s="72"/>
      <c r="I23" s="59"/>
      <c r="J23" s="59"/>
      <c r="K23" s="59"/>
      <c r="L23" s="59"/>
      <c r="M23" s="72"/>
      <c r="N23" s="59"/>
      <c r="O23" s="59"/>
      <c r="P23" s="59"/>
      <c r="Q23" s="59"/>
      <c r="R23" s="72"/>
      <c r="S23" s="59"/>
      <c r="T23" s="59"/>
      <c r="X23" s="64"/>
      <c r="Y23" s="65"/>
      <c r="AA23" s="64"/>
      <c r="AB23" s="66"/>
      <c r="AD23" s="64"/>
      <c r="AE23" s="67"/>
      <c r="AG23" s="64"/>
    </row>
    <row r="24" spans="1:33">
      <c r="A24" s="57" t="s">
        <v>499</v>
      </c>
      <c r="B24" s="57" t="s">
        <v>26</v>
      </c>
      <c r="C24" s="63">
        <v>0.21</v>
      </c>
      <c r="F24" s="59"/>
      <c r="G24" s="59"/>
      <c r="H24" s="72"/>
      <c r="I24" s="59"/>
      <c r="J24" s="59"/>
      <c r="K24" s="59"/>
      <c r="L24" s="59"/>
      <c r="M24" s="72"/>
      <c r="N24" s="59"/>
      <c r="O24" s="59"/>
      <c r="P24" s="59"/>
      <c r="Q24" s="59"/>
      <c r="R24" s="72"/>
      <c r="S24" s="59"/>
      <c r="T24" s="59"/>
      <c r="X24" s="64"/>
      <c r="Y24" s="65"/>
      <c r="AA24" s="64"/>
      <c r="AB24" s="66"/>
      <c r="AD24" s="64"/>
      <c r="AE24" s="67"/>
      <c r="AG24" s="64"/>
    </row>
    <row r="25" spans="1:33">
      <c r="A25" s="57" t="s">
        <v>500</v>
      </c>
      <c r="B25" s="57" t="s">
        <v>26</v>
      </c>
      <c r="C25" s="63">
        <v>0.53</v>
      </c>
      <c r="F25" s="59"/>
      <c r="G25" s="59"/>
      <c r="H25" s="72"/>
      <c r="I25" s="59"/>
      <c r="J25" s="59"/>
      <c r="K25" s="59"/>
      <c r="L25" s="59"/>
      <c r="M25" s="72"/>
      <c r="N25" s="59"/>
      <c r="O25" s="59"/>
      <c r="P25" s="59"/>
      <c r="Q25" s="59"/>
      <c r="R25" s="72"/>
      <c r="S25" s="59"/>
      <c r="T25" s="59"/>
      <c r="X25" s="64"/>
      <c r="Y25" s="65"/>
      <c r="AA25" s="64"/>
      <c r="AB25" s="66"/>
      <c r="AD25" s="64"/>
      <c r="AE25" s="67"/>
      <c r="AG25" s="64"/>
    </row>
    <row r="26" spans="1:33">
      <c r="A26" s="57" t="s">
        <v>501</v>
      </c>
      <c r="B26" s="57" t="s">
        <v>26</v>
      </c>
      <c r="C26" s="63">
        <v>0.45</v>
      </c>
      <c r="F26" s="59"/>
      <c r="G26" s="59"/>
      <c r="H26" s="72"/>
      <c r="I26" s="59"/>
      <c r="J26" s="59"/>
      <c r="K26" s="59"/>
      <c r="L26" s="59"/>
      <c r="M26" s="72"/>
      <c r="N26" s="59"/>
      <c r="O26" s="59"/>
      <c r="P26" s="59"/>
      <c r="Q26" s="59"/>
      <c r="R26" s="72"/>
      <c r="S26" s="59"/>
      <c r="T26" s="59"/>
      <c r="X26" s="64"/>
      <c r="Y26" s="65"/>
      <c r="AA26" s="64"/>
      <c r="AB26" s="66"/>
      <c r="AD26" s="64"/>
      <c r="AE26" s="67"/>
      <c r="AG26" s="64"/>
    </row>
    <row r="27" spans="1:33">
      <c r="A27" s="57" t="s">
        <v>502</v>
      </c>
      <c r="B27" s="57" t="s">
        <v>26</v>
      </c>
      <c r="C27" s="63">
        <v>0.55</v>
      </c>
      <c r="F27" s="59"/>
      <c r="G27" s="59"/>
      <c r="H27" s="72"/>
      <c r="I27" s="59"/>
      <c r="J27" s="59"/>
      <c r="K27" s="59"/>
      <c r="L27" s="59"/>
      <c r="M27" s="72"/>
      <c r="N27" s="59"/>
      <c r="O27" s="59"/>
      <c r="P27" s="59"/>
      <c r="Q27" s="59"/>
      <c r="R27" s="72"/>
      <c r="S27" s="59"/>
      <c r="T27" s="59"/>
      <c r="X27" s="64"/>
      <c r="Y27" s="65"/>
      <c r="AA27" s="64"/>
      <c r="AB27" s="66"/>
      <c r="AD27" s="64"/>
      <c r="AE27" s="67"/>
      <c r="AG27" s="64"/>
    </row>
    <row r="28" spans="1:33">
      <c r="A28" s="57" t="s">
        <v>503</v>
      </c>
      <c r="B28" s="57" t="s">
        <v>26</v>
      </c>
      <c r="C28" s="63">
        <v>0.55</v>
      </c>
      <c r="F28" s="59"/>
      <c r="G28" s="59"/>
      <c r="H28" s="72"/>
      <c r="I28" s="59"/>
      <c r="J28" s="59"/>
      <c r="K28" s="59"/>
      <c r="L28" s="59"/>
      <c r="M28" s="72"/>
      <c r="N28" s="59"/>
      <c r="O28" s="59"/>
      <c r="P28" s="59"/>
      <c r="Q28" s="59"/>
      <c r="R28" s="72"/>
      <c r="S28" s="59"/>
      <c r="T28" s="59"/>
      <c r="X28" s="64"/>
      <c r="Y28" s="65"/>
      <c r="AA28" s="64"/>
      <c r="AB28" s="66"/>
      <c r="AD28" s="64"/>
      <c r="AE28" s="67"/>
      <c r="AG28" s="64"/>
    </row>
    <row r="29" spans="1:33">
      <c r="A29" s="57" t="s">
        <v>504</v>
      </c>
      <c r="B29" s="57" t="s">
        <v>26</v>
      </c>
      <c r="C29" s="63">
        <v>0.45</v>
      </c>
      <c r="F29" s="59"/>
      <c r="G29" s="59"/>
      <c r="H29" s="72"/>
      <c r="I29" s="59"/>
      <c r="J29" s="59"/>
      <c r="K29" s="59"/>
      <c r="L29" s="59"/>
      <c r="M29" s="59"/>
      <c r="N29" s="59"/>
      <c r="O29" s="59"/>
      <c r="P29" s="59"/>
      <c r="Q29" s="59"/>
      <c r="R29" s="72"/>
      <c r="S29" s="59"/>
      <c r="T29" s="59"/>
      <c r="X29" s="64"/>
      <c r="Y29" s="65"/>
      <c r="AA29" s="64"/>
      <c r="AB29" s="66"/>
      <c r="AD29" s="64"/>
      <c r="AE29" s="67"/>
      <c r="AG29" s="64"/>
    </row>
    <row r="30" spans="1:33">
      <c r="A30" s="57" t="s">
        <v>505</v>
      </c>
      <c r="B30" s="57" t="s">
        <v>26</v>
      </c>
      <c r="C30" s="63">
        <v>0.35</v>
      </c>
      <c r="F30" s="59"/>
      <c r="G30" s="59"/>
      <c r="H30" s="72"/>
      <c r="I30" s="59"/>
      <c r="J30" s="59"/>
      <c r="K30" s="59"/>
      <c r="L30" s="59"/>
      <c r="M30" s="59"/>
      <c r="N30" s="59"/>
      <c r="O30" s="59"/>
      <c r="P30" s="59"/>
      <c r="Q30" s="59"/>
      <c r="R30" s="72"/>
      <c r="S30" s="59"/>
      <c r="T30" s="59"/>
      <c r="X30" s="64"/>
      <c r="Y30" s="65"/>
      <c r="AA30" s="64"/>
      <c r="AB30" s="66"/>
      <c r="AD30" s="64"/>
      <c r="AE30" s="67"/>
      <c r="AG30" s="64"/>
    </row>
    <row r="31" spans="1:33">
      <c r="A31" s="57" t="s">
        <v>506</v>
      </c>
      <c r="B31" s="57" t="s">
        <v>26</v>
      </c>
      <c r="C31" s="63">
        <v>0.17</v>
      </c>
      <c r="F31" s="59"/>
      <c r="G31" s="59"/>
      <c r="H31" s="72"/>
      <c r="I31" s="59"/>
      <c r="J31" s="59"/>
      <c r="K31" s="59"/>
      <c r="L31" s="59"/>
      <c r="M31" s="59"/>
      <c r="N31" s="59"/>
      <c r="O31" s="59"/>
      <c r="P31" s="59"/>
      <c r="Q31" s="59"/>
      <c r="R31" s="72"/>
      <c r="S31" s="59"/>
      <c r="T31" s="59"/>
      <c r="X31" s="64"/>
      <c r="Y31" s="65"/>
      <c r="AA31" s="64"/>
      <c r="AB31" s="66"/>
      <c r="AD31" s="64"/>
      <c r="AE31" s="67"/>
      <c r="AG31" s="64"/>
    </row>
    <row r="32" spans="1:33">
      <c r="A32" s="57" t="s">
        <v>507</v>
      </c>
      <c r="B32" s="57" t="s">
        <v>26</v>
      </c>
      <c r="C32" s="63">
        <v>0.39</v>
      </c>
      <c r="F32" s="59"/>
      <c r="G32" s="59"/>
      <c r="H32" s="72"/>
      <c r="I32" s="59"/>
      <c r="J32" s="59"/>
      <c r="K32" s="59"/>
      <c r="L32" s="59"/>
      <c r="M32" s="59"/>
      <c r="N32" s="59"/>
      <c r="O32" s="59"/>
      <c r="P32" s="59"/>
      <c r="Q32" s="59"/>
      <c r="R32" s="72"/>
      <c r="S32" s="59"/>
      <c r="T32" s="59"/>
      <c r="X32" s="64"/>
      <c r="Y32" s="65"/>
      <c r="AA32" s="64"/>
      <c r="AB32" s="66"/>
      <c r="AD32" s="64"/>
      <c r="AE32" s="67"/>
      <c r="AG32" s="64"/>
    </row>
    <row r="33" spans="1:33">
      <c r="A33" s="57" t="s">
        <v>508</v>
      </c>
      <c r="B33" s="57" t="s">
        <v>26</v>
      </c>
      <c r="C33" s="63">
        <v>0.23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72"/>
      <c r="S33" s="59"/>
      <c r="T33" s="59"/>
      <c r="X33" s="64"/>
      <c r="Y33" s="65"/>
      <c r="AA33" s="64"/>
      <c r="AB33" s="66"/>
      <c r="AD33" s="64"/>
      <c r="AE33" s="67"/>
      <c r="AG33" s="64"/>
    </row>
    <row r="34" spans="1:33">
      <c r="A34" s="57" t="s">
        <v>509</v>
      </c>
      <c r="B34" s="57" t="s">
        <v>26</v>
      </c>
      <c r="C34" s="63">
        <v>0.15</v>
      </c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72"/>
      <c r="S34" s="59"/>
      <c r="T34" s="59"/>
      <c r="X34" s="64"/>
      <c r="Y34" s="65"/>
      <c r="AA34" s="64"/>
      <c r="AB34" s="66"/>
      <c r="AD34" s="64"/>
      <c r="AE34" s="67"/>
      <c r="AG34" s="64"/>
    </row>
    <row r="35" spans="1:33">
      <c r="A35" s="57" t="s">
        <v>510</v>
      </c>
      <c r="B35" s="57" t="s">
        <v>26</v>
      </c>
      <c r="C35" s="63">
        <v>0.45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72"/>
      <c r="S35" s="59"/>
      <c r="T35" s="59"/>
      <c r="X35" s="64"/>
      <c r="Y35" s="65"/>
      <c r="AA35" s="64"/>
      <c r="AB35" s="66"/>
      <c r="AD35" s="64"/>
      <c r="AE35" s="67"/>
      <c r="AG35" s="64"/>
    </row>
    <row r="36" spans="1:33">
      <c r="A36" s="57" t="s">
        <v>511</v>
      </c>
      <c r="B36" s="57" t="s">
        <v>26</v>
      </c>
      <c r="C36" s="63">
        <v>0.35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X36" s="64"/>
      <c r="Y36" s="65"/>
      <c r="AA36" s="64"/>
      <c r="AB36" s="66"/>
      <c r="AD36" s="64"/>
      <c r="AE36" s="67"/>
      <c r="AG36" s="64"/>
    </row>
    <row r="37" spans="1:33">
      <c r="A37" s="57" t="s">
        <v>512</v>
      </c>
      <c r="B37" s="57" t="s">
        <v>26</v>
      </c>
      <c r="C37" s="63">
        <v>0.47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X37" s="64"/>
      <c r="Y37" s="65"/>
      <c r="AA37" s="64"/>
      <c r="AB37" s="66"/>
      <c r="AD37" s="64"/>
      <c r="AE37" s="67"/>
      <c r="AG37" s="64"/>
    </row>
    <row r="38" spans="1:33">
      <c r="A38" s="57" t="s">
        <v>513</v>
      </c>
      <c r="B38" s="57" t="s">
        <v>26</v>
      </c>
      <c r="C38" s="63">
        <v>0.29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X38" s="64"/>
      <c r="Y38" s="65"/>
      <c r="AA38" s="64"/>
      <c r="AB38" s="66"/>
      <c r="AD38" s="64"/>
      <c r="AE38" s="67"/>
      <c r="AG38" s="64"/>
    </row>
    <row r="39" spans="1:33">
      <c r="A39" s="57" t="s">
        <v>514</v>
      </c>
      <c r="B39" s="57" t="s">
        <v>26</v>
      </c>
      <c r="C39" s="63">
        <v>0.19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X39" s="64"/>
      <c r="AE39" s="67"/>
      <c r="AG39" s="64"/>
    </row>
    <row r="40" spans="1:33">
      <c r="A40" s="57" t="s">
        <v>515</v>
      </c>
      <c r="B40" s="57" t="s">
        <v>26</v>
      </c>
      <c r="C40" s="63">
        <v>0.59</v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V40" s="58"/>
      <c r="X40" s="64"/>
      <c r="AA40" s="64"/>
      <c r="AD40" s="64"/>
      <c r="AG40" s="64"/>
    </row>
    <row r="41" spans="1:33">
      <c r="A41" s="57" t="s">
        <v>516</v>
      </c>
      <c r="B41" s="57" t="s">
        <v>26</v>
      </c>
      <c r="C41" s="63">
        <v>0.75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V41" s="58"/>
      <c r="X41" s="64"/>
      <c r="AA41" s="64"/>
      <c r="AD41" s="64"/>
      <c r="AG41" s="64"/>
    </row>
    <row r="42" spans="1:33">
      <c r="A42" s="57" t="s">
        <v>517</v>
      </c>
      <c r="B42" s="57" t="s">
        <v>26</v>
      </c>
      <c r="C42" s="63">
        <v>0.41</v>
      </c>
      <c r="P42" s="59"/>
      <c r="Q42" s="59"/>
      <c r="R42" s="59"/>
      <c r="S42" s="59"/>
      <c r="T42" s="59"/>
      <c r="U42" s="59"/>
      <c r="X42" s="64"/>
      <c r="Y42" s="65"/>
      <c r="AA42" s="64"/>
      <c r="AB42" s="66"/>
      <c r="AD42" s="64"/>
      <c r="AE42" s="67"/>
      <c r="AG42" s="64"/>
    </row>
    <row r="43" spans="1:33">
      <c r="A43" s="57" t="s">
        <v>518</v>
      </c>
      <c r="B43" s="57" t="s">
        <v>26</v>
      </c>
      <c r="C43" s="63">
        <v>0.31</v>
      </c>
      <c r="X43" s="64"/>
      <c r="Y43" s="65"/>
      <c r="AA43" s="64"/>
      <c r="AB43" s="66"/>
      <c r="AD43" s="64"/>
      <c r="AE43" s="67"/>
      <c r="AG43" s="64"/>
    </row>
    <row r="44" spans="1:33">
      <c r="A44" s="57" t="s">
        <v>519</v>
      </c>
      <c r="B44" s="57" t="s">
        <v>26</v>
      </c>
      <c r="C44" s="63">
        <v>0.45</v>
      </c>
      <c r="V44" s="58"/>
      <c r="X44" s="64"/>
      <c r="Y44" s="65"/>
      <c r="AA44" s="64"/>
      <c r="AB44" s="59"/>
      <c r="AD44" s="64"/>
      <c r="AE44" s="67"/>
      <c r="AG44" s="64"/>
    </row>
    <row r="45" spans="1:33">
      <c r="A45" s="57" t="s">
        <v>520</v>
      </c>
      <c r="B45" s="57" t="s">
        <v>26</v>
      </c>
      <c r="C45" s="63">
        <v>0.43</v>
      </c>
      <c r="U45" s="59"/>
      <c r="X45" s="64"/>
      <c r="Y45" s="65"/>
      <c r="AA45" s="64"/>
      <c r="AB45" s="66"/>
      <c r="AD45" s="64"/>
    </row>
    <row r="46" spans="1:33">
      <c r="A46" s="57" t="s">
        <v>521</v>
      </c>
      <c r="B46" s="57" t="s">
        <v>30</v>
      </c>
      <c r="C46" s="63">
        <v>0.39</v>
      </c>
      <c r="X46" s="64"/>
      <c r="Y46" s="65"/>
      <c r="AA46" s="64"/>
      <c r="AD46" s="64"/>
      <c r="AE46" s="67"/>
      <c r="AG46" s="64"/>
    </row>
    <row r="47" spans="1:33">
      <c r="A47" s="57" t="s">
        <v>522</v>
      </c>
      <c r="B47" s="57" t="s">
        <v>30</v>
      </c>
      <c r="C47" s="63">
        <v>0.37</v>
      </c>
    </row>
    <row r="48" spans="1:33">
      <c r="A48" s="57" t="s">
        <v>523</v>
      </c>
      <c r="B48" s="57" t="s">
        <v>30</v>
      </c>
      <c r="C48" s="63">
        <v>0.43</v>
      </c>
    </row>
    <row r="49" spans="1:3">
      <c r="A49" s="57" t="s">
        <v>524</v>
      </c>
      <c r="B49" s="57" t="s">
        <v>30</v>
      </c>
      <c r="C49" s="63">
        <v>0.25</v>
      </c>
    </row>
    <row r="50" spans="1:3">
      <c r="A50" s="57" t="s">
        <v>525</v>
      </c>
      <c r="B50" s="57" t="s">
        <v>30</v>
      </c>
      <c r="C50" s="63">
        <v>0.11</v>
      </c>
    </row>
    <row r="51" spans="1:3">
      <c r="A51" s="57" t="s">
        <v>526</v>
      </c>
      <c r="B51" s="57" t="s">
        <v>30</v>
      </c>
      <c r="C51" s="63">
        <v>0.13</v>
      </c>
    </row>
    <row r="52" spans="1:3">
      <c r="A52" s="57" t="s">
        <v>527</v>
      </c>
      <c r="B52" s="57" t="s">
        <v>30</v>
      </c>
      <c r="C52" s="63">
        <v>0.09</v>
      </c>
    </row>
    <row r="53" spans="1:3">
      <c r="A53" s="57" t="s">
        <v>528</v>
      </c>
      <c r="B53" s="57" t="s">
        <v>30</v>
      </c>
      <c r="C53" s="63">
        <v>0.55</v>
      </c>
    </row>
    <row r="54" spans="1:3">
      <c r="A54" s="57" t="s">
        <v>529</v>
      </c>
      <c r="B54" s="57" t="s">
        <v>30</v>
      </c>
      <c r="C54" s="63">
        <v>0.05</v>
      </c>
    </row>
    <row r="55" spans="1:3">
      <c r="A55" s="57" t="s">
        <v>530</v>
      </c>
      <c r="B55" s="57" t="s">
        <v>30</v>
      </c>
      <c r="C55" s="63">
        <v>0.49</v>
      </c>
    </row>
    <row r="56" spans="1:3">
      <c r="A56" s="57" t="s">
        <v>531</v>
      </c>
      <c r="B56" s="57" t="s">
        <v>30</v>
      </c>
      <c r="C56" s="63">
        <v>0.45</v>
      </c>
    </row>
    <row r="57" spans="1:3">
      <c r="A57" s="57" t="s">
        <v>532</v>
      </c>
      <c r="B57" s="57" t="s">
        <v>30</v>
      </c>
      <c r="C57" s="63">
        <v>0.41</v>
      </c>
    </row>
    <row r="58" spans="1:3">
      <c r="A58" s="57" t="s">
        <v>533</v>
      </c>
      <c r="B58" s="57" t="s">
        <v>30</v>
      </c>
      <c r="C58" s="63">
        <v>0.07</v>
      </c>
    </row>
    <row r="59" spans="1:3">
      <c r="A59" s="57" t="s">
        <v>534</v>
      </c>
      <c r="B59" s="57" t="s">
        <v>30</v>
      </c>
      <c r="C59" s="63">
        <v>0.57</v>
      </c>
    </row>
    <row r="60" spans="1:3">
      <c r="A60" s="57" t="s">
        <v>535</v>
      </c>
      <c r="B60" s="57" t="s">
        <v>30</v>
      </c>
      <c r="C60" s="63">
        <v>0.29</v>
      </c>
    </row>
    <row r="61" spans="1:3">
      <c r="A61" s="57" t="s">
        <v>536</v>
      </c>
      <c r="B61" s="57" t="s">
        <v>30</v>
      </c>
      <c r="C61" s="63">
        <v>0.33</v>
      </c>
    </row>
    <row r="62" spans="1:3">
      <c r="A62" s="57" t="s">
        <v>537</v>
      </c>
      <c r="B62" s="57" t="s">
        <v>30</v>
      </c>
      <c r="C62" s="63">
        <v>0.27</v>
      </c>
    </row>
    <row r="63" spans="1:3">
      <c r="A63" s="57" t="s">
        <v>538</v>
      </c>
      <c r="B63" s="57" t="s">
        <v>30</v>
      </c>
      <c r="C63" s="63">
        <v>0.45</v>
      </c>
    </row>
    <row r="64" spans="1:3">
      <c r="A64" s="57" t="s">
        <v>539</v>
      </c>
      <c r="B64" s="57" t="s">
        <v>30</v>
      </c>
      <c r="C64" s="63">
        <v>0.51</v>
      </c>
    </row>
    <row r="65" spans="1:3">
      <c r="A65" s="57" t="s">
        <v>540</v>
      </c>
      <c r="B65" s="57" t="s">
        <v>30</v>
      </c>
      <c r="C65" s="63">
        <v>0.21</v>
      </c>
    </row>
    <row r="66" spans="1:3">
      <c r="A66" s="57" t="s">
        <v>541</v>
      </c>
      <c r="B66" s="57" t="s">
        <v>30</v>
      </c>
      <c r="C66" s="63">
        <v>0.53</v>
      </c>
    </row>
    <row r="67" spans="1:3">
      <c r="A67" s="57" t="s">
        <v>542</v>
      </c>
      <c r="B67" s="57" t="s">
        <v>30</v>
      </c>
      <c r="C67" s="63">
        <v>0.45</v>
      </c>
    </row>
    <row r="68" spans="1:3">
      <c r="A68" s="57" t="s">
        <v>543</v>
      </c>
      <c r="B68" s="57" t="s">
        <v>30</v>
      </c>
      <c r="C68" s="63">
        <v>0.45</v>
      </c>
    </row>
    <row r="69" spans="1:3">
      <c r="A69" s="57" t="s">
        <v>544</v>
      </c>
      <c r="B69" s="57" t="s">
        <v>30</v>
      </c>
      <c r="C69" s="63">
        <v>0.55</v>
      </c>
    </row>
    <row r="70" spans="1:3">
      <c r="A70" s="57" t="s">
        <v>545</v>
      </c>
      <c r="B70" s="57" t="s">
        <v>30</v>
      </c>
      <c r="C70" s="63">
        <v>0.45</v>
      </c>
    </row>
    <row r="71" spans="1:3">
      <c r="A71" s="57" t="s">
        <v>546</v>
      </c>
      <c r="B71" s="57" t="s">
        <v>30</v>
      </c>
      <c r="C71" s="63">
        <v>0.35</v>
      </c>
    </row>
    <row r="72" spans="1:3">
      <c r="A72" s="57" t="s">
        <v>547</v>
      </c>
      <c r="B72" s="57" t="s">
        <v>30</v>
      </c>
      <c r="C72" s="63">
        <v>0.17</v>
      </c>
    </row>
    <row r="73" spans="1:3">
      <c r="A73" s="57" t="s">
        <v>548</v>
      </c>
      <c r="B73" s="57" t="s">
        <v>30</v>
      </c>
      <c r="C73" s="63">
        <v>0.39</v>
      </c>
    </row>
    <row r="74" spans="1:3">
      <c r="A74" s="57" t="s">
        <v>549</v>
      </c>
      <c r="B74" s="57" t="s">
        <v>30</v>
      </c>
      <c r="C74" s="63">
        <v>0.23</v>
      </c>
    </row>
    <row r="75" spans="1:3">
      <c r="A75" s="57" t="s">
        <v>550</v>
      </c>
      <c r="B75" s="57" t="s">
        <v>30</v>
      </c>
      <c r="C75" s="63">
        <v>0.15</v>
      </c>
    </row>
    <row r="76" spans="1:3">
      <c r="A76" s="57" t="s">
        <v>551</v>
      </c>
      <c r="B76" s="57" t="s">
        <v>30</v>
      </c>
      <c r="C76" s="63">
        <v>0.45</v>
      </c>
    </row>
    <row r="77" spans="1:3">
      <c r="A77" s="57" t="s">
        <v>552</v>
      </c>
      <c r="B77" s="57" t="s">
        <v>30</v>
      </c>
      <c r="C77" s="63">
        <v>0.35</v>
      </c>
    </row>
    <row r="78" spans="1:3">
      <c r="A78" s="57" t="s">
        <v>553</v>
      </c>
      <c r="B78" s="57" t="s">
        <v>30</v>
      </c>
      <c r="C78" s="63">
        <v>0.47</v>
      </c>
    </row>
    <row r="79" spans="1:3">
      <c r="A79" s="57" t="s">
        <v>554</v>
      </c>
      <c r="B79" s="57" t="s">
        <v>30</v>
      </c>
      <c r="C79" s="63">
        <v>0.19</v>
      </c>
    </row>
    <row r="80" spans="1:3">
      <c r="A80" s="57" t="s">
        <v>555</v>
      </c>
      <c r="B80" s="57" t="s">
        <v>30</v>
      </c>
      <c r="C80" s="63">
        <v>0.59</v>
      </c>
    </row>
    <row r="81" spans="1:3">
      <c r="A81" s="57" t="s">
        <v>556</v>
      </c>
      <c r="B81" s="57" t="s">
        <v>30</v>
      </c>
      <c r="C81" s="63">
        <v>0.55</v>
      </c>
    </row>
    <row r="82" spans="1:3">
      <c r="A82" s="57" t="s">
        <v>557</v>
      </c>
      <c r="B82" s="57" t="s">
        <v>30</v>
      </c>
      <c r="C82" s="63">
        <v>0.41</v>
      </c>
    </row>
    <row r="83" spans="1:3">
      <c r="A83" s="57" t="s">
        <v>558</v>
      </c>
      <c r="B83" s="57" t="s">
        <v>30</v>
      </c>
      <c r="C83" s="63">
        <v>0.31</v>
      </c>
    </row>
    <row r="84" spans="1:3">
      <c r="A84" s="57" t="s">
        <v>559</v>
      </c>
      <c r="B84" s="57" t="s">
        <v>30</v>
      </c>
      <c r="C84" s="63">
        <v>0.45</v>
      </c>
    </row>
    <row r="85" spans="1:3">
      <c r="A85" s="57" t="s">
        <v>560</v>
      </c>
      <c r="B85" s="57" t="s">
        <v>30</v>
      </c>
      <c r="C85" s="63">
        <v>0.43</v>
      </c>
    </row>
    <row r="86" spans="1:3">
      <c r="A86" s="57" t="s">
        <v>561</v>
      </c>
      <c r="B86" s="57" t="s">
        <v>16</v>
      </c>
      <c r="C86" s="63">
        <v>0.39</v>
      </c>
    </row>
    <row r="87" spans="1:3">
      <c r="A87" s="57" t="s">
        <v>562</v>
      </c>
      <c r="B87" s="57" t="s">
        <v>16</v>
      </c>
      <c r="C87" s="63">
        <v>0.37</v>
      </c>
    </row>
    <row r="88" spans="1:3">
      <c r="A88" s="57" t="s">
        <v>563</v>
      </c>
      <c r="B88" s="57" t="s">
        <v>16</v>
      </c>
      <c r="C88" s="63">
        <v>0.43</v>
      </c>
    </row>
    <row r="89" spans="1:3">
      <c r="A89" s="57" t="s">
        <v>564</v>
      </c>
      <c r="B89" s="57" t="s">
        <v>16</v>
      </c>
      <c r="C89" s="63">
        <v>0.25</v>
      </c>
    </row>
    <row r="90" spans="1:3">
      <c r="A90" s="57" t="s">
        <v>565</v>
      </c>
      <c r="B90" s="57" t="s">
        <v>16</v>
      </c>
      <c r="C90" s="63">
        <v>0.11</v>
      </c>
    </row>
    <row r="91" spans="1:3">
      <c r="A91" s="57" t="s">
        <v>566</v>
      </c>
      <c r="B91" s="57" t="s">
        <v>16</v>
      </c>
      <c r="C91" s="63">
        <v>0.13</v>
      </c>
    </row>
    <row r="92" spans="1:3">
      <c r="A92" s="57" t="s">
        <v>567</v>
      </c>
      <c r="B92" s="57" t="s">
        <v>16</v>
      </c>
      <c r="C92" s="63">
        <v>0.09</v>
      </c>
    </row>
    <row r="93" spans="1:3">
      <c r="A93" s="57" t="s">
        <v>568</v>
      </c>
      <c r="B93" s="57" t="s">
        <v>16</v>
      </c>
      <c r="C93" s="63">
        <v>0.29</v>
      </c>
    </row>
    <row r="94" spans="1:3">
      <c r="A94" s="57" t="s">
        <v>569</v>
      </c>
      <c r="B94" s="57" t="s">
        <v>16</v>
      </c>
      <c r="C94" s="63">
        <v>0.55</v>
      </c>
    </row>
    <row r="95" spans="1:3">
      <c r="A95" s="57" t="s">
        <v>570</v>
      </c>
      <c r="B95" s="57" t="s">
        <v>16</v>
      </c>
      <c r="C95" s="63">
        <v>0.05</v>
      </c>
    </row>
    <row r="96" spans="1:3">
      <c r="A96" s="57" t="s">
        <v>571</v>
      </c>
      <c r="B96" s="57" t="s">
        <v>16</v>
      </c>
      <c r="C96" s="63">
        <v>0.49</v>
      </c>
    </row>
    <row r="97" spans="1:3">
      <c r="A97" s="57" t="s">
        <v>572</v>
      </c>
      <c r="B97" s="57" t="s">
        <v>16</v>
      </c>
      <c r="C97" s="63">
        <v>0.45</v>
      </c>
    </row>
    <row r="98" spans="1:3">
      <c r="A98" s="57" t="s">
        <v>573</v>
      </c>
      <c r="B98" s="57" t="s">
        <v>16</v>
      </c>
      <c r="C98" s="63">
        <v>0.41</v>
      </c>
    </row>
    <row r="99" spans="1:3">
      <c r="A99" s="57" t="s">
        <v>574</v>
      </c>
      <c r="B99" s="57" t="s">
        <v>16</v>
      </c>
      <c r="C99" s="63">
        <v>0.45</v>
      </c>
    </row>
    <row r="100" spans="1:3">
      <c r="A100" s="57" t="s">
        <v>575</v>
      </c>
      <c r="B100" s="57" t="s">
        <v>16</v>
      </c>
      <c r="C100" s="63">
        <v>0.07</v>
      </c>
    </row>
    <row r="101" spans="1:3">
      <c r="A101" s="57" t="s">
        <v>576</v>
      </c>
      <c r="B101" s="57" t="s">
        <v>16</v>
      </c>
      <c r="C101" s="63">
        <v>0.57</v>
      </c>
    </row>
    <row r="102" spans="1:3">
      <c r="A102" s="57" t="s">
        <v>577</v>
      </c>
      <c r="B102" s="57" t="s">
        <v>16</v>
      </c>
      <c r="C102" s="63">
        <v>0.33</v>
      </c>
    </row>
    <row r="103" spans="1:3">
      <c r="A103" s="57" t="s">
        <v>578</v>
      </c>
      <c r="B103" s="57" t="s">
        <v>16</v>
      </c>
      <c r="C103" s="63">
        <v>0.27</v>
      </c>
    </row>
    <row r="104" spans="1:3">
      <c r="A104" s="57" t="s">
        <v>579</v>
      </c>
      <c r="B104" s="57" t="s">
        <v>16</v>
      </c>
      <c r="C104" s="63">
        <v>0.45</v>
      </c>
    </row>
    <row r="105" spans="1:3">
      <c r="A105" s="57" t="s">
        <v>580</v>
      </c>
      <c r="B105" s="57" t="s">
        <v>16</v>
      </c>
      <c r="C105" s="63">
        <v>0.51</v>
      </c>
    </row>
    <row r="106" spans="1:3">
      <c r="A106" s="57" t="s">
        <v>581</v>
      </c>
      <c r="B106" s="57" t="s">
        <v>16</v>
      </c>
      <c r="C106" s="63">
        <v>0.21</v>
      </c>
    </row>
    <row r="107" spans="1:3">
      <c r="A107" s="57" t="s">
        <v>582</v>
      </c>
      <c r="B107" s="57" t="s">
        <v>16</v>
      </c>
      <c r="C107" s="63">
        <v>0.53</v>
      </c>
    </row>
    <row r="108" spans="1:3">
      <c r="A108" s="57" t="s">
        <v>583</v>
      </c>
      <c r="B108" s="57" t="s">
        <v>16</v>
      </c>
      <c r="C108" s="63">
        <v>0.45</v>
      </c>
    </row>
    <row r="109" spans="1:3">
      <c r="A109" s="57" t="s">
        <v>584</v>
      </c>
      <c r="B109" s="57" t="s">
        <v>16</v>
      </c>
      <c r="C109" s="63">
        <v>0.45</v>
      </c>
    </row>
    <row r="110" spans="1:3">
      <c r="A110" s="57" t="s">
        <v>585</v>
      </c>
      <c r="B110" s="57" t="s">
        <v>16</v>
      </c>
      <c r="C110" s="63">
        <v>0.55</v>
      </c>
    </row>
    <row r="111" spans="1:3">
      <c r="A111" s="57" t="s">
        <v>586</v>
      </c>
      <c r="B111" s="57" t="s">
        <v>16</v>
      </c>
      <c r="C111" s="63">
        <v>0.45</v>
      </c>
    </row>
    <row r="112" spans="1:3">
      <c r="A112" s="57" t="s">
        <v>587</v>
      </c>
      <c r="B112" s="57" t="s">
        <v>16</v>
      </c>
      <c r="C112" s="63">
        <v>0.35</v>
      </c>
    </row>
    <row r="113" spans="1:3">
      <c r="A113" s="57" t="s">
        <v>588</v>
      </c>
      <c r="B113" s="57" t="s">
        <v>16</v>
      </c>
      <c r="C113" s="63">
        <v>0.17</v>
      </c>
    </row>
    <row r="114" spans="1:3">
      <c r="A114" s="57" t="s">
        <v>589</v>
      </c>
      <c r="B114" s="57" t="s">
        <v>16</v>
      </c>
      <c r="C114" s="63">
        <v>0.39</v>
      </c>
    </row>
    <row r="115" spans="1:3">
      <c r="A115" s="57" t="s">
        <v>590</v>
      </c>
      <c r="B115" s="57" t="s">
        <v>16</v>
      </c>
      <c r="C115" s="63">
        <v>0.23</v>
      </c>
    </row>
    <row r="116" spans="1:3">
      <c r="A116" s="57" t="s">
        <v>591</v>
      </c>
      <c r="B116" s="57" t="s">
        <v>16</v>
      </c>
      <c r="C116" s="63">
        <v>0.15</v>
      </c>
    </row>
    <row r="117" spans="1:3">
      <c r="A117" s="57" t="s">
        <v>592</v>
      </c>
      <c r="B117" s="57" t="s">
        <v>16</v>
      </c>
      <c r="C117" s="63">
        <v>0.45</v>
      </c>
    </row>
    <row r="118" spans="1:3">
      <c r="A118" s="57" t="s">
        <v>593</v>
      </c>
      <c r="B118" s="57" t="s">
        <v>16</v>
      </c>
      <c r="C118" s="63">
        <v>0.35</v>
      </c>
    </row>
    <row r="119" spans="1:3">
      <c r="A119" s="57" t="s">
        <v>594</v>
      </c>
      <c r="B119" s="57" t="s">
        <v>16</v>
      </c>
      <c r="C119" s="63">
        <v>0.47</v>
      </c>
    </row>
    <row r="120" spans="1:3">
      <c r="A120" s="57" t="s">
        <v>595</v>
      </c>
      <c r="B120" s="57" t="s">
        <v>16</v>
      </c>
      <c r="C120" s="63">
        <v>0.19</v>
      </c>
    </row>
    <row r="121" spans="1:3">
      <c r="A121" s="57" t="s">
        <v>596</v>
      </c>
      <c r="B121" s="57" t="s">
        <v>16</v>
      </c>
      <c r="C121" s="63">
        <v>0.59</v>
      </c>
    </row>
    <row r="122" spans="1:3">
      <c r="A122" s="57" t="s">
        <v>597</v>
      </c>
      <c r="B122" s="57" t="s">
        <v>16</v>
      </c>
      <c r="C122" s="63">
        <v>0.41</v>
      </c>
    </row>
    <row r="123" spans="1:3">
      <c r="A123" s="57" t="s">
        <v>598</v>
      </c>
      <c r="B123" s="57" t="s">
        <v>16</v>
      </c>
      <c r="C123" s="63">
        <v>0.31</v>
      </c>
    </row>
    <row r="124" spans="1:3">
      <c r="A124" s="57" t="s">
        <v>599</v>
      </c>
      <c r="B124" s="57" t="s">
        <v>16</v>
      </c>
      <c r="C124" s="63">
        <v>0.45</v>
      </c>
    </row>
    <row r="125" spans="1:3">
      <c r="A125" s="57" t="s">
        <v>600</v>
      </c>
      <c r="B125" s="57" t="s">
        <v>16</v>
      </c>
      <c r="C125" s="63">
        <v>0.43</v>
      </c>
    </row>
    <row r="126" spans="1:3">
      <c r="A126" s="57" t="s">
        <v>601</v>
      </c>
      <c r="B126" s="57" t="s">
        <v>21</v>
      </c>
      <c r="C126" s="63">
        <v>0.39</v>
      </c>
    </row>
    <row r="127" spans="1:3">
      <c r="A127" s="57" t="s">
        <v>602</v>
      </c>
      <c r="B127" s="57" t="s">
        <v>21</v>
      </c>
      <c r="C127" s="63">
        <v>0.37</v>
      </c>
    </row>
    <row r="128" spans="1:3">
      <c r="A128" s="57" t="s">
        <v>603</v>
      </c>
      <c r="B128" s="57" t="s">
        <v>21</v>
      </c>
      <c r="C128" s="63">
        <v>0.43</v>
      </c>
    </row>
    <row r="129" spans="1:3">
      <c r="A129" s="57" t="s">
        <v>604</v>
      </c>
      <c r="B129" s="57" t="s">
        <v>21</v>
      </c>
      <c r="C129" s="63">
        <v>0.55</v>
      </c>
    </row>
    <row r="130" spans="1:3">
      <c r="A130" s="57" t="s">
        <v>605</v>
      </c>
      <c r="B130" s="57" t="s">
        <v>21</v>
      </c>
      <c r="C130" s="63">
        <v>0.29</v>
      </c>
    </row>
    <row r="131" spans="1:3">
      <c r="A131" s="57" t="s">
        <v>606</v>
      </c>
      <c r="B131" s="57" t="s">
        <v>21</v>
      </c>
      <c r="C131" s="63">
        <v>0.25</v>
      </c>
    </row>
    <row r="132" spans="1:3">
      <c r="A132" s="57" t="s">
        <v>607</v>
      </c>
      <c r="B132" s="57" t="s">
        <v>21</v>
      </c>
      <c r="C132" s="63">
        <v>0.11</v>
      </c>
    </row>
    <row r="133" spans="1:3">
      <c r="A133" s="57" t="s">
        <v>608</v>
      </c>
      <c r="B133" s="57" t="s">
        <v>21</v>
      </c>
      <c r="C133" s="63">
        <v>0.13</v>
      </c>
    </row>
    <row r="134" spans="1:3">
      <c r="A134" s="57" t="s">
        <v>609</v>
      </c>
      <c r="B134" s="57" t="s">
        <v>21</v>
      </c>
      <c r="C134" s="63">
        <v>0.09</v>
      </c>
    </row>
    <row r="135" spans="1:3">
      <c r="A135" s="57" t="s">
        <v>610</v>
      </c>
      <c r="B135" s="57" t="s">
        <v>21</v>
      </c>
      <c r="C135" s="63">
        <v>0.37</v>
      </c>
    </row>
    <row r="136" spans="1:3">
      <c r="A136" s="57" t="s">
        <v>611</v>
      </c>
      <c r="B136" s="57" t="s">
        <v>21</v>
      </c>
      <c r="C136" s="63">
        <v>0.05</v>
      </c>
    </row>
    <row r="137" spans="1:3">
      <c r="A137" s="57" t="s">
        <v>612</v>
      </c>
      <c r="B137" s="57" t="s">
        <v>21</v>
      </c>
      <c r="C137" s="63">
        <v>0.49</v>
      </c>
    </row>
    <row r="138" spans="1:3">
      <c r="A138" s="57" t="s">
        <v>613</v>
      </c>
      <c r="B138" s="57" t="s">
        <v>21</v>
      </c>
      <c r="C138" s="63">
        <v>0.45</v>
      </c>
    </row>
    <row r="139" spans="1:3">
      <c r="A139" s="57" t="s">
        <v>614</v>
      </c>
      <c r="B139" s="57" t="s">
        <v>21</v>
      </c>
      <c r="C139" s="63">
        <v>0.41</v>
      </c>
    </row>
    <row r="140" spans="1:3">
      <c r="A140" s="57" t="s">
        <v>615</v>
      </c>
      <c r="B140" s="57" t="s">
        <v>21</v>
      </c>
      <c r="C140" s="63">
        <v>0.45</v>
      </c>
    </row>
    <row r="141" spans="1:3">
      <c r="A141" s="57" t="s">
        <v>616</v>
      </c>
      <c r="B141" s="57" t="s">
        <v>21</v>
      </c>
      <c r="C141" s="63">
        <v>0.07</v>
      </c>
    </row>
    <row r="142" spans="1:3">
      <c r="A142" s="57" t="s">
        <v>617</v>
      </c>
      <c r="B142" s="57" t="s">
        <v>21</v>
      </c>
      <c r="C142" s="63">
        <v>0.57</v>
      </c>
    </row>
    <row r="143" spans="1:3">
      <c r="A143" s="57" t="s">
        <v>618</v>
      </c>
      <c r="B143" s="57" t="s">
        <v>21</v>
      </c>
      <c r="C143" s="63">
        <v>0.57</v>
      </c>
    </row>
    <row r="144" spans="1:3">
      <c r="A144" s="57" t="s">
        <v>619</v>
      </c>
      <c r="B144" s="57" t="s">
        <v>21</v>
      </c>
      <c r="C144" s="63">
        <v>0.27</v>
      </c>
    </row>
    <row r="145" spans="1:3">
      <c r="A145" s="57" t="s">
        <v>620</v>
      </c>
      <c r="B145" s="57" t="s">
        <v>21</v>
      </c>
      <c r="C145" s="63" t="s">
        <v>621</v>
      </c>
    </row>
    <row r="146" spans="1:3">
      <c r="A146" s="57" t="s">
        <v>622</v>
      </c>
      <c r="B146" s="57" t="s">
        <v>21</v>
      </c>
      <c r="C146" s="63">
        <v>0.45</v>
      </c>
    </row>
    <row r="147" spans="1:3">
      <c r="A147" s="57" t="s">
        <v>623</v>
      </c>
      <c r="B147" s="57" t="s">
        <v>21</v>
      </c>
      <c r="C147" s="63">
        <v>0.51</v>
      </c>
    </row>
    <row r="148" spans="1:3">
      <c r="A148" s="57" t="s">
        <v>624</v>
      </c>
      <c r="B148" s="57" t="s">
        <v>21</v>
      </c>
      <c r="C148" s="63">
        <v>0.21</v>
      </c>
    </row>
    <row r="149" spans="1:3">
      <c r="A149" s="57" t="s">
        <v>625</v>
      </c>
      <c r="B149" s="57" t="s">
        <v>21</v>
      </c>
      <c r="C149" s="63">
        <v>0.53</v>
      </c>
    </row>
    <row r="150" spans="1:3">
      <c r="A150" s="57" t="s">
        <v>626</v>
      </c>
      <c r="B150" s="57" t="s">
        <v>21</v>
      </c>
      <c r="C150" s="63">
        <v>0.45</v>
      </c>
    </row>
    <row r="151" spans="1:3">
      <c r="A151" s="57" t="s">
        <v>627</v>
      </c>
      <c r="B151" s="57" t="s">
        <v>21</v>
      </c>
      <c r="C151" s="63">
        <v>0.45</v>
      </c>
    </row>
    <row r="152" spans="1:3">
      <c r="A152" s="57" t="s">
        <v>628</v>
      </c>
      <c r="B152" s="57" t="s">
        <v>21</v>
      </c>
      <c r="C152" s="63">
        <v>0.57</v>
      </c>
    </row>
    <row r="153" spans="1:3">
      <c r="A153" s="57" t="s">
        <v>629</v>
      </c>
      <c r="B153" s="57" t="s">
        <v>21</v>
      </c>
      <c r="C153" s="63">
        <v>0.55</v>
      </c>
    </row>
    <row r="154" spans="1:3">
      <c r="A154" s="57" t="s">
        <v>630</v>
      </c>
      <c r="B154" s="57" t="s">
        <v>21</v>
      </c>
      <c r="C154" s="63">
        <v>0.29</v>
      </c>
    </row>
    <row r="155" spans="1:3">
      <c r="A155" s="57" t="s">
        <v>631</v>
      </c>
      <c r="B155" s="57" t="s">
        <v>21</v>
      </c>
      <c r="C155" s="63">
        <v>0.45</v>
      </c>
    </row>
    <row r="156" spans="1:3">
      <c r="A156" s="57" t="s">
        <v>632</v>
      </c>
      <c r="B156" s="57" t="s">
        <v>21</v>
      </c>
      <c r="C156" s="63">
        <v>0.35</v>
      </c>
    </row>
    <row r="157" spans="1:3">
      <c r="A157" s="57" t="s">
        <v>633</v>
      </c>
      <c r="B157" s="57" t="s">
        <v>21</v>
      </c>
      <c r="C157" s="63">
        <v>0.17</v>
      </c>
    </row>
    <row r="158" spans="1:3">
      <c r="A158" s="57" t="s">
        <v>634</v>
      </c>
      <c r="B158" s="57" t="s">
        <v>21</v>
      </c>
      <c r="C158" s="63">
        <v>0.39</v>
      </c>
    </row>
    <row r="159" spans="1:3">
      <c r="A159" s="57" t="s">
        <v>635</v>
      </c>
      <c r="B159" s="57" t="s">
        <v>21</v>
      </c>
      <c r="C159" s="63">
        <v>0.23</v>
      </c>
    </row>
    <row r="160" spans="1:3">
      <c r="A160" s="57" t="s">
        <v>636</v>
      </c>
      <c r="B160" s="57" t="s">
        <v>21</v>
      </c>
      <c r="C160" s="63">
        <v>0.15</v>
      </c>
    </row>
    <row r="161" spans="1:3">
      <c r="A161" s="57" t="s">
        <v>637</v>
      </c>
      <c r="B161" s="57" t="s">
        <v>21</v>
      </c>
      <c r="C161" s="63">
        <v>0.45</v>
      </c>
    </row>
    <row r="162" spans="1:3">
      <c r="A162" s="57" t="s">
        <v>638</v>
      </c>
      <c r="B162" s="57" t="s">
        <v>21</v>
      </c>
      <c r="C162" s="63">
        <v>0.35</v>
      </c>
    </row>
    <row r="163" spans="1:3">
      <c r="A163" s="57" t="s">
        <v>639</v>
      </c>
      <c r="B163" s="57" t="s">
        <v>21</v>
      </c>
      <c r="C163" s="63">
        <v>0.47</v>
      </c>
    </row>
    <row r="164" spans="1:3">
      <c r="A164" s="57" t="s">
        <v>640</v>
      </c>
      <c r="B164" s="57" t="s">
        <v>21</v>
      </c>
      <c r="C164" s="63">
        <v>0.51</v>
      </c>
    </row>
    <row r="165" spans="1:3">
      <c r="A165" s="57" t="s">
        <v>641</v>
      </c>
      <c r="B165" s="57" t="s">
        <v>21</v>
      </c>
      <c r="C165" s="63">
        <v>0.19</v>
      </c>
    </row>
    <row r="166" spans="1:3">
      <c r="A166" s="57" t="s">
        <v>642</v>
      </c>
      <c r="B166" s="57" t="s">
        <v>21</v>
      </c>
      <c r="C166" s="63">
        <v>0.59</v>
      </c>
    </row>
    <row r="167" spans="1:3">
      <c r="A167" s="57" t="s">
        <v>643</v>
      </c>
      <c r="B167" s="57" t="s">
        <v>21</v>
      </c>
      <c r="C167" s="63">
        <v>0.41</v>
      </c>
    </row>
    <row r="168" spans="1:3">
      <c r="A168" s="57" t="s">
        <v>644</v>
      </c>
      <c r="B168" s="57" t="s">
        <v>21</v>
      </c>
      <c r="C168" s="63">
        <v>0.31</v>
      </c>
    </row>
    <row r="169" spans="1:3">
      <c r="A169" s="57" t="s">
        <v>645</v>
      </c>
      <c r="B169" s="57" t="s">
        <v>21</v>
      </c>
      <c r="C169" s="63">
        <v>0.45</v>
      </c>
    </row>
  </sheetData>
  <sortState ref="AE2:AG188">
    <sortCondition ref="AE2:AE188"/>
  </sortState>
  <mergeCells count="10">
    <mergeCell ref="AH2:AH3"/>
    <mergeCell ref="AH4:AH5"/>
    <mergeCell ref="AI2:AI3"/>
    <mergeCell ref="AI4:AI5"/>
    <mergeCell ref="AJ2:AJ3"/>
    <mergeCell ref="AJ4:AJ5"/>
    <mergeCell ref="AK2:AK3"/>
    <mergeCell ref="AK4:AK5"/>
    <mergeCell ref="AL2:AL3"/>
    <mergeCell ref="AL4:AL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2"/>
  <sheetViews>
    <sheetView zoomScale="140" zoomScaleNormal="140" topLeftCell="A111" workbookViewId="0">
      <selection activeCell="C122" sqref="C122"/>
    </sheetView>
  </sheetViews>
  <sheetFormatPr defaultColWidth="9" defaultRowHeight="14.25" outlineLevelCol="2"/>
  <cols>
    <col min="1" max="1" width="13.3916666666667" style="4" customWidth="1"/>
    <col min="2" max="2" width="77.7666666666667" style="5" customWidth="1"/>
    <col min="3" max="3" width="47.05" style="5" customWidth="1"/>
    <col min="4" max="16384" width="9" style="5"/>
  </cols>
  <sheetData>
    <row r="1" spans="1:3">
      <c r="A1" s="49" t="s">
        <v>646</v>
      </c>
      <c r="B1" s="50" t="s">
        <v>647</v>
      </c>
      <c r="C1" s="50" t="s">
        <v>648</v>
      </c>
    </row>
    <row r="2" spans="1:3">
      <c r="A2" s="4" t="s">
        <v>649</v>
      </c>
      <c r="B2" s="5" t="s">
        <v>82</v>
      </c>
      <c r="C2" s="6">
        <v>0.01</v>
      </c>
    </row>
    <row r="3" spans="1:3">
      <c r="A3" s="4" t="s">
        <v>650</v>
      </c>
      <c r="B3" s="5" t="s">
        <v>82</v>
      </c>
      <c r="C3" s="6">
        <v>0.02</v>
      </c>
    </row>
    <row r="4" spans="1:3">
      <c r="A4" s="4" t="s">
        <v>651</v>
      </c>
      <c r="B4" s="5" t="s">
        <v>82</v>
      </c>
      <c r="C4" s="6">
        <v>0.03</v>
      </c>
    </row>
    <row r="5" spans="1:3">
      <c r="A5" s="4" t="s">
        <v>652</v>
      </c>
      <c r="B5" s="5" t="s">
        <v>82</v>
      </c>
      <c r="C5" s="6" t="s">
        <v>653</v>
      </c>
    </row>
    <row r="6" spans="1:3">
      <c r="A6" s="4" t="s">
        <v>654</v>
      </c>
      <c r="B6" s="5" t="s">
        <v>82</v>
      </c>
      <c r="C6" s="6">
        <v>0.1</v>
      </c>
    </row>
    <row r="7" spans="1:3">
      <c r="A7" s="4" t="s">
        <v>655</v>
      </c>
      <c r="B7" s="5" t="s">
        <v>82</v>
      </c>
      <c r="C7" s="6" t="s">
        <v>656</v>
      </c>
    </row>
    <row r="8" spans="1:3">
      <c r="A8" s="4" t="s">
        <v>657</v>
      </c>
      <c r="B8" s="5" t="s">
        <v>82</v>
      </c>
      <c r="C8" s="6">
        <v>0.2</v>
      </c>
    </row>
    <row r="9" spans="1:3">
      <c r="A9" s="4" t="s">
        <v>658</v>
      </c>
      <c r="B9" s="5" t="s">
        <v>82</v>
      </c>
      <c r="C9" s="6" t="s">
        <v>659</v>
      </c>
    </row>
    <row r="10" spans="1:3">
      <c r="A10" s="4" t="s">
        <v>660</v>
      </c>
      <c r="B10" s="5" t="s">
        <v>82</v>
      </c>
      <c r="C10" s="6">
        <v>0.5</v>
      </c>
    </row>
    <row r="11" spans="1:3">
      <c r="A11" s="4" t="s">
        <v>661</v>
      </c>
      <c r="B11" s="5" t="s">
        <v>82</v>
      </c>
      <c r="C11" s="6">
        <v>0.75</v>
      </c>
    </row>
    <row r="12" spans="1:3">
      <c r="A12" s="4" t="s">
        <v>662</v>
      </c>
      <c r="B12" s="5" t="s">
        <v>82</v>
      </c>
      <c r="C12" s="6" t="s">
        <v>663</v>
      </c>
    </row>
    <row r="13" spans="1:3">
      <c r="A13" s="4" t="s">
        <v>664</v>
      </c>
      <c r="B13" s="5" t="s">
        <v>82</v>
      </c>
      <c r="C13" s="6">
        <v>0.01</v>
      </c>
    </row>
    <row r="14" spans="1:3">
      <c r="A14" s="4" t="s">
        <v>665</v>
      </c>
      <c r="B14" s="5" t="s">
        <v>82</v>
      </c>
      <c r="C14" s="6">
        <v>0.02</v>
      </c>
    </row>
    <row r="15" spans="1:3">
      <c r="A15" s="4" t="s">
        <v>666</v>
      </c>
      <c r="B15" s="5" t="s">
        <v>82</v>
      </c>
      <c r="C15" s="6">
        <v>0.03</v>
      </c>
    </row>
    <row r="16" spans="1:3">
      <c r="A16" s="4" t="s">
        <v>667</v>
      </c>
      <c r="B16" s="5" t="s">
        <v>82</v>
      </c>
      <c r="C16" s="6">
        <v>0.05</v>
      </c>
    </row>
    <row r="17" spans="1:3">
      <c r="A17" s="4" t="s">
        <v>668</v>
      </c>
      <c r="B17" s="5" t="s">
        <v>82</v>
      </c>
      <c r="C17" s="6">
        <v>0.1</v>
      </c>
    </row>
    <row r="18" spans="1:3">
      <c r="A18" s="4" t="s">
        <v>669</v>
      </c>
      <c r="B18" s="5" t="s">
        <v>82</v>
      </c>
      <c r="C18" s="6">
        <v>0.15</v>
      </c>
    </row>
    <row r="19" spans="1:3">
      <c r="A19" s="4" t="s">
        <v>670</v>
      </c>
      <c r="B19" s="5" t="s">
        <v>82</v>
      </c>
      <c r="C19" s="6">
        <v>0.2</v>
      </c>
    </row>
    <row r="20" spans="1:3">
      <c r="A20" s="4" t="s">
        <v>671</v>
      </c>
      <c r="B20" s="5" t="s">
        <v>82</v>
      </c>
      <c r="C20" s="6">
        <v>0.3</v>
      </c>
    </row>
    <row r="21" spans="1:3">
      <c r="A21" s="4" t="s">
        <v>672</v>
      </c>
      <c r="B21" s="5" t="s">
        <v>82</v>
      </c>
      <c r="C21" s="6">
        <v>0.5</v>
      </c>
    </row>
    <row r="22" spans="1:3">
      <c r="A22" s="4" t="s">
        <v>673</v>
      </c>
      <c r="B22" s="5" t="s">
        <v>82</v>
      </c>
      <c r="C22" s="6">
        <v>0.75</v>
      </c>
    </row>
    <row r="23" spans="1:3">
      <c r="A23" s="4" t="s">
        <v>674</v>
      </c>
      <c r="B23" s="5" t="s">
        <v>82</v>
      </c>
      <c r="C23" s="6">
        <v>0.01</v>
      </c>
    </row>
    <row r="24" spans="1:3">
      <c r="A24" s="4" t="s">
        <v>675</v>
      </c>
      <c r="B24" s="5" t="s">
        <v>82</v>
      </c>
      <c r="C24" s="6">
        <v>0.02</v>
      </c>
    </row>
    <row r="25" spans="1:3">
      <c r="A25" s="4" t="s">
        <v>676</v>
      </c>
      <c r="B25" s="5" t="s">
        <v>82</v>
      </c>
      <c r="C25" s="6">
        <v>0.03</v>
      </c>
    </row>
    <row r="26" spans="1:3">
      <c r="A26" s="4" t="s">
        <v>677</v>
      </c>
      <c r="B26" s="5" t="s">
        <v>82</v>
      </c>
      <c r="C26" s="6">
        <v>0.05</v>
      </c>
    </row>
    <row r="27" spans="1:3">
      <c r="A27" s="4" t="s">
        <v>678</v>
      </c>
      <c r="B27" s="5" t="s">
        <v>82</v>
      </c>
      <c r="C27" s="6">
        <v>0.1</v>
      </c>
    </row>
    <row r="28" spans="1:3">
      <c r="A28" s="4" t="s">
        <v>679</v>
      </c>
      <c r="B28" s="5" t="s">
        <v>82</v>
      </c>
      <c r="C28" s="6">
        <v>0.15</v>
      </c>
    </row>
    <row r="29" spans="1:3">
      <c r="A29" s="4" t="s">
        <v>680</v>
      </c>
      <c r="B29" s="5" t="s">
        <v>82</v>
      </c>
      <c r="C29" s="6">
        <v>0.2</v>
      </c>
    </row>
    <row r="30" spans="1:3">
      <c r="A30" s="4" t="s">
        <v>681</v>
      </c>
      <c r="B30" s="5" t="s">
        <v>82</v>
      </c>
      <c r="C30" s="6">
        <v>0.3</v>
      </c>
    </row>
    <row r="31" spans="1:3">
      <c r="A31" s="4" t="s">
        <v>682</v>
      </c>
      <c r="B31" s="5" t="s">
        <v>82</v>
      </c>
      <c r="C31" s="6">
        <v>0.5</v>
      </c>
    </row>
    <row r="32" spans="1:3">
      <c r="A32" s="4" t="s">
        <v>683</v>
      </c>
      <c r="B32" s="5" t="s">
        <v>82</v>
      </c>
      <c r="C32" s="6">
        <v>0.75</v>
      </c>
    </row>
    <row r="33" spans="1:3">
      <c r="A33" s="4" t="s">
        <v>684</v>
      </c>
      <c r="B33" s="5" t="s">
        <v>82</v>
      </c>
      <c r="C33" s="6">
        <v>0.03</v>
      </c>
    </row>
    <row r="34" spans="1:3">
      <c r="A34" s="4" t="s">
        <v>685</v>
      </c>
      <c r="B34" s="5" t="s">
        <v>82</v>
      </c>
      <c r="C34" s="6">
        <v>0.06</v>
      </c>
    </row>
    <row r="35" spans="1:3">
      <c r="A35" s="4" t="s">
        <v>686</v>
      </c>
      <c r="B35" s="5" t="s">
        <v>82</v>
      </c>
      <c r="C35" s="6">
        <v>0.09</v>
      </c>
    </row>
    <row r="36" spans="1:3">
      <c r="A36" s="4" t="s">
        <v>687</v>
      </c>
      <c r="B36" s="5" t="s">
        <v>82</v>
      </c>
      <c r="C36" s="6" t="s">
        <v>688</v>
      </c>
    </row>
    <row r="37" spans="1:3">
      <c r="A37" s="4" t="s">
        <v>689</v>
      </c>
      <c r="B37" s="5" t="s">
        <v>82</v>
      </c>
      <c r="C37" s="6">
        <v>0.3</v>
      </c>
    </row>
    <row r="38" spans="1:3">
      <c r="A38" s="4" t="s">
        <v>690</v>
      </c>
      <c r="B38" s="5" t="s">
        <v>82</v>
      </c>
      <c r="C38" s="6" t="s">
        <v>691</v>
      </c>
    </row>
    <row r="39" spans="1:3">
      <c r="A39" s="4" t="s">
        <v>692</v>
      </c>
      <c r="B39" s="5" t="s">
        <v>82</v>
      </c>
      <c r="C39" s="6">
        <v>0.6</v>
      </c>
    </row>
    <row r="40" spans="1:3">
      <c r="A40" s="4" t="s">
        <v>693</v>
      </c>
      <c r="B40" s="5" t="s">
        <v>82</v>
      </c>
      <c r="C40" s="6" t="s">
        <v>694</v>
      </c>
    </row>
    <row r="41" spans="1:3">
      <c r="A41" s="4" t="s">
        <v>695</v>
      </c>
      <c r="B41" s="5" t="s">
        <v>82</v>
      </c>
      <c r="C41" s="6">
        <v>1.5</v>
      </c>
    </row>
    <row r="42" spans="1:3">
      <c r="A42" s="4" t="s">
        <v>696</v>
      </c>
      <c r="B42" s="5" t="s">
        <v>82</v>
      </c>
      <c r="C42" s="6">
        <v>2.25</v>
      </c>
    </row>
    <row r="43" spans="1:3">
      <c r="A43" s="51" t="s">
        <v>697</v>
      </c>
      <c r="B43" s="5" t="s">
        <v>82</v>
      </c>
      <c r="C43" s="5" t="s">
        <v>698</v>
      </c>
    </row>
    <row r="44" spans="1:3">
      <c r="A44" s="4" t="s">
        <v>699</v>
      </c>
      <c r="C44" s="52" t="s">
        <v>700</v>
      </c>
    </row>
    <row r="45" spans="1:3">
      <c r="A45" s="51" t="s">
        <v>701</v>
      </c>
      <c r="B45" s="53">
        <v>800</v>
      </c>
      <c r="C45" s="5" t="s">
        <v>82</v>
      </c>
    </row>
    <row r="46" spans="1:3">
      <c r="A46" s="51" t="s">
        <v>702</v>
      </c>
      <c r="B46" s="53">
        <v>500</v>
      </c>
      <c r="C46" s="5" t="s">
        <v>82</v>
      </c>
    </row>
    <row r="47" spans="1:3">
      <c r="A47" s="51" t="s">
        <v>703</v>
      </c>
      <c r="B47" s="53">
        <v>8000</v>
      </c>
      <c r="C47" s="5" t="s">
        <v>82</v>
      </c>
    </row>
    <row r="48" spans="1:3">
      <c r="A48" s="51" t="s">
        <v>704</v>
      </c>
      <c r="B48" s="53">
        <v>2000</v>
      </c>
      <c r="C48" s="5" t="s">
        <v>82</v>
      </c>
    </row>
    <row r="49" spans="1:3">
      <c r="A49" s="4" t="s">
        <v>705</v>
      </c>
      <c r="B49" s="53">
        <v>2000</v>
      </c>
      <c r="C49" s="5" t="s">
        <v>82</v>
      </c>
    </row>
    <row r="50" spans="1:3">
      <c r="A50" s="4" t="s">
        <v>706</v>
      </c>
      <c r="B50" s="53">
        <v>2000</v>
      </c>
      <c r="C50" s="5" t="s">
        <v>82</v>
      </c>
    </row>
    <row r="51" spans="1:3">
      <c r="A51" s="51" t="s">
        <v>707</v>
      </c>
      <c r="B51" s="53">
        <v>800</v>
      </c>
      <c r="C51" s="5" t="s">
        <v>82</v>
      </c>
    </row>
    <row r="52" spans="1:3">
      <c r="A52" s="51" t="s">
        <v>708</v>
      </c>
      <c r="B52" s="53">
        <v>2000</v>
      </c>
      <c r="C52" s="5" t="s">
        <v>82</v>
      </c>
    </row>
    <row r="53" spans="1:3">
      <c r="A53" s="51" t="s">
        <v>709</v>
      </c>
      <c r="B53" s="53">
        <v>5000</v>
      </c>
      <c r="C53" s="5" t="s">
        <v>82</v>
      </c>
    </row>
    <row r="54" spans="1:3">
      <c r="A54" s="51" t="s">
        <v>710</v>
      </c>
      <c r="B54" s="53">
        <v>5000</v>
      </c>
      <c r="C54" s="5" t="s">
        <v>82</v>
      </c>
    </row>
    <row r="55" spans="1:3">
      <c r="A55" s="4" t="s">
        <v>711</v>
      </c>
      <c r="B55" s="53">
        <v>5000</v>
      </c>
      <c r="C55" s="5" t="s">
        <v>82</v>
      </c>
    </row>
    <row r="56" spans="1:3">
      <c r="A56" s="4" t="s">
        <v>712</v>
      </c>
      <c r="B56" s="53">
        <v>5000</v>
      </c>
      <c r="C56" s="5" t="s">
        <v>82</v>
      </c>
    </row>
    <row r="57" spans="1:3">
      <c r="A57" s="51" t="s">
        <v>713</v>
      </c>
      <c r="B57" s="53">
        <v>6000</v>
      </c>
      <c r="C57" s="5" t="s">
        <v>82</v>
      </c>
    </row>
    <row r="58" spans="1:3">
      <c r="A58" s="4" t="s">
        <v>714</v>
      </c>
      <c r="B58" s="53">
        <v>6000</v>
      </c>
      <c r="C58" s="5" t="s">
        <v>82</v>
      </c>
    </row>
    <row r="59" spans="1:3">
      <c r="A59" s="4" t="s">
        <v>715</v>
      </c>
      <c r="B59" s="53">
        <v>6000</v>
      </c>
      <c r="C59" s="5" t="s">
        <v>82</v>
      </c>
    </row>
    <row r="60" spans="1:3">
      <c r="A60" s="4" t="s">
        <v>716</v>
      </c>
      <c r="B60" s="53">
        <v>6000</v>
      </c>
      <c r="C60" s="5" t="s">
        <v>82</v>
      </c>
    </row>
    <row r="61" spans="1:3">
      <c r="A61" s="51" t="s">
        <v>717</v>
      </c>
      <c r="B61" s="53">
        <v>4000</v>
      </c>
      <c r="C61" s="5" t="s">
        <v>82</v>
      </c>
    </row>
    <row r="62" spans="1:3">
      <c r="A62" s="4" t="s">
        <v>718</v>
      </c>
      <c r="B62" s="53">
        <v>4000</v>
      </c>
      <c r="C62" s="5" t="s">
        <v>82</v>
      </c>
    </row>
    <row r="63" spans="1:3">
      <c r="A63" s="51" t="s">
        <v>719</v>
      </c>
      <c r="B63" s="53">
        <v>50</v>
      </c>
      <c r="C63" s="5" t="s">
        <v>82</v>
      </c>
    </row>
    <row r="64" spans="1:3">
      <c r="A64" s="51" t="s">
        <v>720</v>
      </c>
      <c r="B64" s="53">
        <v>100</v>
      </c>
      <c r="C64" s="5" t="s">
        <v>82</v>
      </c>
    </row>
    <row r="65" spans="1:3">
      <c r="A65" s="51" t="s">
        <v>721</v>
      </c>
      <c r="B65" s="53">
        <v>18</v>
      </c>
      <c r="C65" s="5" t="s">
        <v>82</v>
      </c>
    </row>
    <row r="66" spans="1:3">
      <c r="A66" s="51" t="s">
        <v>722</v>
      </c>
      <c r="B66" s="5" t="s">
        <v>723</v>
      </c>
      <c r="C66" s="5" t="s">
        <v>82</v>
      </c>
    </row>
    <row r="67" spans="1:3">
      <c r="A67" s="51" t="s">
        <v>724</v>
      </c>
      <c r="B67" s="5" t="s">
        <v>725</v>
      </c>
      <c r="C67" s="5" t="s">
        <v>82</v>
      </c>
    </row>
    <row r="68" spans="1:3">
      <c r="A68" s="51" t="s">
        <v>726</v>
      </c>
      <c r="B68" s="5" t="s">
        <v>727</v>
      </c>
      <c r="C68" s="5" t="s">
        <v>82</v>
      </c>
    </row>
    <row r="69" spans="1:3">
      <c r="A69" s="51" t="s">
        <v>728</v>
      </c>
      <c r="B69" s="5" t="s">
        <v>729</v>
      </c>
      <c r="C69" s="5" t="s">
        <v>82</v>
      </c>
    </row>
    <row r="70" spans="1:3">
      <c r="A70" s="51" t="s">
        <v>730</v>
      </c>
      <c r="B70" s="5" t="s">
        <v>731</v>
      </c>
      <c r="C70" s="5" t="s">
        <v>82</v>
      </c>
    </row>
    <row r="71" spans="1:3">
      <c r="A71" s="51" t="s">
        <v>732</v>
      </c>
      <c r="B71" s="54" t="s">
        <v>733</v>
      </c>
      <c r="C71" s="5" t="s">
        <v>82</v>
      </c>
    </row>
    <row r="72" spans="1:3">
      <c r="A72" s="4" t="s">
        <v>734</v>
      </c>
      <c r="B72" s="52" t="s">
        <v>735</v>
      </c>
      <c r="C72" s="5" t="s">
        <v>82</v>
      </c>
    </row>
    <row r="73" spans="1:3">
      <c r="A73" s="4" t="s">
        <v>736</v>
      </c>
      <c r="B73" s="5" t="s">
        <v>82</v>
      </c>
      <c r="C73" s="5" t="s">
        <v>737</v>
      </c>
    </row>
    <row r="74" spans="1:3">
      <c r="A74" s="51" t="s">
        <v>738</v>
      </c>
      <c r="B74" s="5" t="s">
        <v>82</v>
      </c>
      <c r="C74" s="53" t="s">
        <v>739</v>
      </c>
    </row>
    <row r="75" spans="1:3">
      <c r="A75" s="51" t="s">
        <v>740</v>
      </c>
      <c r="B75" s="5" t="s">
        <v>82</v>
      </c>
      <c r="C75" s="53" t="s">
        <v>741</v>
      </c>
    </row>
    <row r="76" spans="1:3">
      <c r="A76" s="51" t="s">
        <v>742</v>
      </c>
      <c r="B76" s="5" t="s">
        <v>82</v>
      </c>
      <c r="C76" s="53" t="s">
        <v>743</v>
      </c>
    </row>
    <row r="77" spans="1:3">
      <c r="A77" s="51" t="s">
        <v>744</v>
      </c>
      <c r="B77" s="5" t="s">
        <v>82</v>
      </c>
      <c r="C77" s="53" t="s">
        <v>745</v>
      </c>
    </row>
    <row r="78" spans="1:3">
      <c r="A78" s="51" t="s">
        <v>746</v>
      </c>
      <c r="B78" s="5" t="s">
        <v>82</v>
      </c>
      <c r="C78" s="53" t="s">
        <v>747</v>
      </c>
    </row>
    <row r="79" spans="1:3">
      <c r="A79" s="51" t="s">
        <v>748</v>
      </c>
      <c r="B79" s="5" t="s">
        <v>82</v>
      </c>
      <c r="C79" s="53" t="s">
        <v>749</v>
      </c>
    </row>
    <row r="80" spans="1:3">
      <c r="A80" s="55" t="s">
        <v>750</v>
      </c>
      <c r="B80" s="53" t="s">
        <v>751</v>
      </c>
      <c r="C80" s="5" t="s">
        <v>82</v>
      </c>
    </row>
    <row r="81" spans="1:3">
      <c r="A81" s="55" t="s">
        <v>752</v>
      </c>
      <c r="B81" s="53" t="s">
        <v>753</v>
      </c>
      <c r="C81" s="5" t="s">
        <v>82</v>
      </c>
    </row>
    <row r="82" spans="1:3">
      <c r="A82" s="55" t="s">
        <v>754</v>
      </c>
      <c r="B82" s="53">
        <v>1200</v>
      </c>
      <c r="C82" s="5" t="s">
        <v>82</v>
      </c>
    </row>
    <row r="83" spans="1:3">
      <c r="A83" s="55" t="s">
        <v>755</v>
      </c>
      <c r="B83" s="53">
        <v>600</v>
      </c>
      <c r="C83" s="5" t="s">
        <v>82</v>
      </c>
    </row>
    <row r="84" spans="1:3">
      <c r="A84" s="4" t="s">
        <v>756</v>
      </c>
      <c r="B84" s="53" t="s">
        <v>757</v>
      </c>
    </row>
    <row r="85" spans="1:3">
      <c r="A85" s="4" t="s">
        <v>758</v>
      </c>
      <c r="B85" s="53" t="s">
        <v>759</v>
      </c>
      <c r="C85" s="5" t="s">
        <v>82</v>
      </c>
    </row>
    <row r="86" spans="1:3">
      <c r="A86" s="55" t="s">
        <v>760</v>
      </c>
      <c r="B86" s="53">
        <v>200</v>
      </c>
      <c r="C86" s="5" t="s">
        <v>82</v>
      </c>
    </row>
    <row r="87" spans="1:3">
      <c r="A87" s="55" t="s">
        <v>761</v>
      </c>
      <c r="B87" s="53">
        <v>3</v>
      </c>
      <c r="C87" s="5" t="s">
        <v>82</v>
      </c>
    </row>
    <row r="88" spans="1:3">
      <c r="A88" s="55" t="s">
        <v>762</v>
      </c>
      <c r="B88" s="53">
        <v>5</v>
      </c>
      <c r="C88" s="5" t="s">
        <v>82</v>
      </c>
    </row>
    <row r="89" spans="1:3">
      <c r="A89" s="4" t="s">
        <v>763</v>
      </c>
      <c r="B89" s="5" t="s">
        <v>764</v>
      </c>
    </row>
    <row r="90" spans="1:3">
      <c r="A90" s="4" t="s">
        <v>765</v>
      </c>
      <c r="B90" s="5" t="s">
        <v>766</v>
      </c>
    </row>
    <row r="91" spans="1:3">
      <c r="A91" s="4" t="s">
        <v>767</v>
      </c>
      <c r="B91" s="5" t="s">
        <v>768</v>
      </c>
    </row>
    <row r="92" spans="1:3">
      <c r="A92" s="4" t="s">
        <v>769</v>
      </c>
      <c r="B92" s="5" t="s">
        <v>770</v>
      </c>
    </row>
    <row r="93" spans="1:3">
      <c r="A93" s="4" t="s">
        <v>771</v>
      </c>
      <c r="B93" s="5" t="s">
        <v>772</v>
      </c>
    </row>
    <row r="94" spans="1:3">
      <c r="A94" s="4" t="s">
        <v>773</v>
      </c>
      <c r="B94" s="5" t="s">
        <v>774</v>
      </c>
    </row>
    <row r="95" spans="1:3">
      <c r="A95" s="4" t="s">
        <v>775</v>
      </c>
      <c r="B95" s="5" t="s">
        <v>774</v>
      </c>
    </row>
    <row r="96" spans="1:3">
      <c r="A96" s="4" t="s">
        <v>776</v>
      </c>
      <c r="B96" s="5" t="s">
        <v>768</v>
      </c>
    </row>
    <row r="97" spans="1:3">
      <c r="A97" s="4" t="s">
        <v>777</v>
      </c>
      <c r="B97" s="5" t="s">
        <v>778</v>
      </c>
    </row>
    <row r="98" spans="1:3">
      <c r="A98" s="4" t="s">
        <v>779</v>
      </c>
      <c r="B98" s="5" t="s">
        <v>770</v>
      </c>
    </row>
    <row r="99" spans="1:3">
      <c r="A99" s="4" t="s">
        <v>780</v>
      </c>
      <c r="B99" s="5" t="s">
        <v>781</v>
      </c>
    </row>
    <row r="100" spans="1:3">
      <c r="A100" s="4" t="s">
        <v>782</v>
      </c>
      <c r="B100" s="5" t="s">
        <v>783</v>
      </c>
    </row>
    <row r="101" spans="1:3">
      <c r="A101" s="4" t="s">
        <v>784</v>
      </c>
      <c r="C101" s="53" t="s">
        <v>785</v>
      </c>
    </row>
    <row r="102" spans="1:3">
      <c r="A102" s="55" t="s">
        <v>786</v>
      </c>
      <c r="C102" s="53" t="s">
        <v>787</v>
      </c>
    </row>
    <row r="103" spans="1:3">
      <c r="A103" s="55" t="s">
        <v>788</v>
      </c>
      <c r="C103" s="53" t="s">
        <v>789</v>
      </c>
    </row>
    <row r="104" spans="1:3">
      <c r="A104" s="55" t="s">
        <v>790</v>
      </c>
      <c r="C104" s="53" t="s">
        <v>791</v>
      </c>
    </row>
    <row r="105" spans="1:3">
      <c r="A105" s="55" t="s">
        <v>792</v>
      </c>
      <c r="C105" s="53" t="s">
        <v>787</v>
      </c>
    </row>
    <row r="106" spans="1:3">
      <c r="A106" s="55" t="s">
        <v>793</v>
      </c>
      <c r="C106" s="53" t="s">
        <v>794</v>
      </c>
    </row>
    <row r="107" spans="1:3">
      <c r="A107" s="4" t="s">
        <v>795</v>
      </c>
      <c r="C107" s="5" t="s">
        <v>796</v>
      </c>
    </row>
    <row r="108" spans="1:3">
      <c r="A108" s="4" t="s">
        <v>797</v>
      </c>
      <c r="C108" s="5" t="s">
        <v>798</v>
      </c>
    </row>
    <row r="109" spans="1:3">
      <c r="A109" s="4" t="s">
        <v>799</v>
      </c>
      <c r="C109" s="5" t="s">
        <v>800</v>
      </c>
    </row>
    <row r="110" spans="1:3">
      <c r="A110" s="4" t="s">
        <v>801</v>
      </c>
      <c r="C110" s="5" t="s">
        <v>802</v>
      </c>
    </row>
    <row r="111" spans="1:3">
      <c r="A111" s="4" t="s">
        <v>803</v>
      </c>
      <c r="C111" s="5" t="s">
        <v>804</v>
      </c>
    </row>
    <row r="112" spans="1:3">
      <c r="A112" s="4" t="s">
        <v>805</v>
      </c>
      <c r="C112" s="5" t="s">
        <v>806</v>
      </c>
    </row>
    <row r="113" spans="1:3">
      <c r="A113" s="4" t="s">
        <v>807</v>
      </c>
      <c r="C113" s="5" t="s">
        <v>808</v>
      </c>
    </row>
    <row r="114" spans="1:3">
      <c r="A114" s="4" t="s">
        <v>809</v>
      </c>
      <c r="C114" s="5" t="s">
        <v>810</v>
      </c>
    </row>
    <row r="115" spans="1:3">
      <c r="A115" s="4" t="s">
        <v>811</v>
      </c>
      <c r="C115" s="5" t="s">
        <v>812</v>
      </c>
    </row>
    <row r="116" spans="1:3">
      <c r="A116" s="4" t="s">
        <v>813</v>
      </c>
      <c r="C116" s="5" t="s">
        <v>814</v>
      </c>
    </row>
    <row r="117" spans="1:3">
      <c r="A117" s="4" t="s">
        <v>815</v>
      </c>
      <c r="C117" s="5" t="s">
        <v>816</v>
      </c>
    </row>
    <row r="118" spans="1:3">
      <c r="A118" s="4" t="s">
        <v>817</v>
      </c>
      <c r="C118" s="5" t="s">
        <v>818</v>
      </c>
    </row>
    <row r="119" spans="1:3">
      <c r="A119" s="4" t="s">
        <v>819</v>
      </c>
      <c r="C119" s="5" t="s">
        <v>820</v>
      </c>
    </row>
    <row r="120" spans="1:3">
      <c r="A120" s="4" t="s">
        <v>821</v>
      </c>
      <c r="C120" s="5">
        <v>11</v>
      </c>
    </row>
    <row r="121" spans="1:3">
      <c r="A121" s="4" t="s">
        <v>822</v>
      </c>
      <c r="C121" s="5">
        <v>60</v>
      </c>
    </row>
    <row r="122" spans="1:3">
      <c r="A122" s="4" t="s">
        <v>823</v>
      </c>
      <c r="C122" s="5" t="s">
        <v>824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63"/>
  <sheetViews>
    <sheetView zoomScale="90" zoomScaleNormal="90" topLeftCell="AP10" workbookViewId="0">
      <selection activeCell="BC24" sqref="BC24"/>
    </sheetView>
  </sheetViews>
  <sheetFormatPr defaultColWidth="9" defaultRowHeight="14.25"/>
  <cols>
    <col min="1" max="1" width="12.3333333333333" customWidth="1"/>
    <col min="3" max="3" width="10" style="7" customWidth="1"/>
    <col min="4" max="4" width="12.3333333333333" style="8" customWidth="1"/>
    <col min="5" max="5" width="11.5" style="8" customWidth="1"/>
    <col min="6" max="6" width="12.5833333333333" customWidth="1"/>
    <col min="7" max="7" width="8.83333333333333" customWidth="1"/>
    <col min="8" max="8" width="10.75" customWidth="1"/>
    <col min="9" max="9" width="12.3333333333333" customWidth="1"/>
    <col min="10" max="10" width="13.5" customWidth="1"/>
    <col min="11" max="11" width="13" customWidth="1"/>
    <col min="13" max="13" width="10.3333333333333" customWidth="1"/>
    <col min="14" max="14" width="12.3333333333333" customWidth="1"/>
    <col min="15" max="15" width="12.0833333333333" customWidth="1"/>
    <col min="16" max="16" width="10.6666666666667" customWidth="1"/>
    <col min="18" max="18" width="10.9166666666667" customWidth="1"/>
    <col min="19" max="19" width="11.5833333333333" customWidth="1"/>
    <col min="20" max="20" width="11.6666666666667" customWidth="1"/>
    <col min="25" max="25" width="15.4166666666667" style="9" customWidth="1"/>
    <col min="28" max="28" width="13.9166666666667" customWidth="1"/>
    <col min="31" max="31" width="15.8333333333333" customWidth="1"/>
    <col min="34" max="34" width="13.8333333333333" customWidth="1"/>
    <col min="37" max="37" width="14.75" customWidth="1"/>
    <col min="38" max="38" width="10.3333333333333" customWidth="1"/>
    <col min="39" max="39" width="10.8333333333333" customWidth="1"/>
    <col min="41" max="41" width="13.0833333333333" customWidth="1"/>
    <col min="46" max="46" width="13.5" customWidth="1"/>
    <col min="47" max="47" width="9.66666666666667" customWidth="1"/>
    <col min="48" max="48" width="9.83333333333333" customWidth="1"/>
    <col min="49" max="49" width="9.5" customWidth="1"/>
    <col min="50" max="50" width="16.1666666666667" customWidth="1"/>
    <col min="51" max="51" width="12.25" customWidth="1"/>
    <col min="52" max="52" width="12" customWidth="1"/>
    <col min="53" max="53" width="11.8333333333333" customWidth="1"/>
    <col min="54" max="54" width="15.4166666666667" customWidth="1"/>
    <col min="55" max="55" width="10.0833333333333" customWidth="1"/>
  </cols>
  <sheetData>
    <row r="1" spans="1:56">
      <c r="A1" s="8" t="s">
        <v>0</v>
      </c>
      <c r="B1" s="8" t="s">
        <v>1</v>
      </c>
      <c r="C1" s="10" t="s">
        <v>2</v>
      </c>
      <c r="D1" s="8" t="s">
        <v>13</v>
      </c>
      <c r="E1" s="8" t="s">
        <v>14</v>
      </c>
      <c r="F1" s="8" t="s">
        <v>0</v>
      </c>
      <c r="G1" s="8" t="s">
        <v>1</v>
      </c>
      <c r="H1" s="10" t="s">
        <v>2</v>
      </c>
      <c r="I1" s="8" t="s">
        <v>13</v>
      </c>
      <c r="J1" s="8" t="s">
        <v>14</v>
      </c>
      <c r="K1" s="8" t="s">
        <v>0</v>
      </c>
      <c r="L1" s="8" t="s">
        <v>1</v>
      </c>
      <c r="M1" s="10" t="s">
        <v>2</v>
      </c>
      <c r="N1" s="8" t="s">
        <v>13</v>
      </c>
      <c r="O1" s="8" t="s">
        <v>14</v>
      </c>
      <c r="P1" s="8" t="s">
        <v>0</v>
      </c>
      <c r="Q1" s="8" t="s">
        <v>1</v>
      </c>
      <c r="R1" s="10" t="s">
        <v>2</v>
      </c>
      <c r="S1" s="8" t="s">
        <v>13</v>
      </c>
      <c r="T1" s="8" t="s">
        <v>14</v>
      </c>
      <c r="Y1" t="s">
        <v>475</v>
      </c>
      <c r="Z1" s="8" t="s">
        <v>1</v>
      </c>
      <c r="AA1" s="8" t="s">
        <v>476</v>
      </c>
      <c r="AB1" s="8" t="s">
        <v>475</v>
      </c>
      <c r="AC1" s="8" t="s">
        <v>1</v>
      </c>
      <c r="AD1" s="8" t="s">
        <v>476</v>
      </c>
      <c r="AE1" s="8" t="s">
        <v>475</v>
      </c>
      <c r="AF1" s="8" t="s">
        <v>1</v>
      </c>
      <c r="AG1" s="8" t="s">
        <v>476</v>
      </c>
      <c r="AH1" s="8" t="s">
        <v>475</v>
      </c>
      <c r="AI1" s="8" t="s">
        <v>1</v>
      </c>
      <c r="AJ1" s="8" t="s">
        <v>476</v>
      </c>
      <c r="AK1" s="8" t="s">
        <v>455</v>
      </c>
      <c r="AL1" s="8" t="s">
        <v>1</v>
      </c>
      <c r="AM1" s="8" t="s">
        <v>456</v>
      </c>
      <c r="AN1" s="8" t="s">
        <v>457</v>
      </c>
      <c r="AO1" s="8" t="s">
        <v>458</v>
      </c>
      <c r="AT1" s="8" t="s">
        <v>825</v>
      </c>
      <c r="AU1">
        <v>1</v>
      </c>
      <c r="AV1">
        <v>2</v>
      </c>
      <c r="AW1">
        <v>3</v>
      </c>
      <c r="AX1">
        <v>4</v>
      </c>
      <c r="AY1">
        <v>5</v>
      </c>
      <c r="AZ1">
        <v>6</v>
      </c>
      <c r="BA1">
        <v>7</v>
      </c>
      <c r="BB1">
        <v>8</v>
      </c>
      <c r="BC1">
        <v>9</v>
      </c>
      <c r="BD1">
        <v>10</v>
      </c>
    </row>
    <row r="2" spans="1:56">
      <c r="A2" t="s">
        <v>826</v>
      </c>
      <c r="F2" t="s">
        <v>827</v>
      </c>
      <c r="H2" s="7"/>
      <c r="I2" s="8"/>
      <c r="J2" s="8"/>
      <c r="K2" t="s">
        <v>828</v>
      </c>
      <c r="M2" s="7"/>
      <c r="N2" s="8"/>
      <c r="O2" s="8"/>
      <c r="P2" t="s">
        <v>829</v>
      </c>
      <c r="R2" s="7"/>
      <c r="S2" s="8"/>
      <c r="T2" s="8"/>
      <c r="X2" t="s">
        <v>826</v>
      </c>
      <c r="Y2" s="11" t="s">
        <v>601</v>
      </c>
      <c r="Z2" t="s">
        <v>26</v>
      </c>
      <c r="AA2" s="12">
        <v>0.39</v>
      </c>
      <c r="AB2" s="13" t="s">
        <v>601</v>
      </c>
      <c r="AC2" t="s">
        <v>30</v>
      </c>
      <c r="AD2" s="12">
        <v>0.39</v>
      </c>
      <c r="AE2" s="14" t="s">
        <v>601</v>
      </c>
      <c r="AF2" t="s">
        <v>16</v>
      </c>
      <c r="AG2" s="12">
        <v>0.39</v>
      </c>
      <c r="AH2" s="15" t="s">
        <v>601</v>
      </c>
      <c r="AI2" t="s">
        <v>21</v>
      </c>
      <c r="AJ2" s="12">
        <v>0.39</v>
      </c>
      <c r="AK2" s="16" t="s">
        <v>830</v>
      </c>
      <c r="AL2" s="3" t="s">
        <v>831</v>
      </c>
      <c r="AM2" s="17">
        <v>0.15</v>
      </c>
      <c r="AN2" s="17">
        <v>0.15</v>
      </c>
      <c r="AO2" s="18" t="s">
        <v>832</v>
      </c>
      <c r="AT2" t="s">
        <v>833</v>
      </c>
      <c r="AU2" s="2">
        <v>0.01</v>
      </c>
      <c r="AV2" s="2">
        <v>0.02</v>
      </c>
      <c r="AW2" s="2">
        <v>0.03</v>
      </c>
      <c r="AX2" s="2">
        <v>0.05</v>
      </c>
      <c r="AY2" s="2">
        <v>0.1</v>
      </c>
      <c r="AZ2" s="2">
        <v>0.15</v>
      </c>
      <c r="BA2" s="2">
        <v>0.2</v>
      </c>
      <c r="BB2" s="2">
        <v>0.3</v>
      </c>
      <c r="BC2" s="2">
        <v>0.5</v>
      </c>
      <c r="BD2" s="2">
        <v>0.75</v>
      </c>
    </row>
    <row r="3" spans="1:56">
      <c r="A3" s="19" t="s">
        <v>148</v>
      </c>
      <c r="B3" s="20" t="s">
        <v>21</v>
      </c>
      <c r="C3" s="21" t="s">
        <v>149</v>
      </c>
      <c r="D3" s="8" t="s">
        <v>834</v>
      </c>
      <c r="E3" s="8" t="s">
        <v>151</v>
      </c>
      <c r="F3" s="22" t="s">
        <v>253</v>
      </c>
      <c r="G3" s="23" t="s">
        <v>26</v>
      </c>
      <c r="H3" s="10" t="s">
        <v>82</v>
      </c>
      <c r="I3" s="8" t="s">
        <v>215</v>
      </c>
      <c r="J3" s="8" t="s">
        <v>214</v>
      </c>
      <c r="K3" s="19" t="s">
        <v>348</v>
      </c>
      <c r="L3" s="24" t="s">
        <v>16</v>
      </c>
      <c r="M3" s="25" t="s">
        <v>140</v>
      </c>
      <c r="N3" s="8" t="s">
        <v>47</v>
      </c>
      <c r="O3" s="8" t="s">
        <v>91</v>
      </c>
      <c r="P3" s="26" t="s">
        <v>427</v>
      </c>
      <c r="Q3" s="23" t="s">
        <v>26</v>
      </c>
      <c r="R3" s="27" t="s">
        <v>188</v>
      </c>
      <c r="S3" s="8" t="s">
        <v>428</v>
      </c>
      <c r="T3" s="8" t="s">
        <v>400</v>
      </c>
      <c r="Y3" s="11" t="s">
        <v>602</v>
      </c>
      <c r="Z3" t="s">
        <v>26</v>
      </c>
      <c r="AA3" s="12">
        <v>0.37</v>
      </c>
      <c r="AB3" s="13" t="s">
        <v>602</v>
      </c>
      <c r="AC3" t="s">
        <v>30</v>
      </c>
      <c r="AD3" s="12">
        <v>0.37</v>
      </c>
      <c r="AE3" s="14" t="s">
        <v>602</v>
      </c>
      <c r="AF3" t="s">
        <v>16</v>
      </c>
      <c r="AG3" s="12">
        <v>0.37</v>
      </c>
      <c r="AH3" s="15" t="s">
        <v>602</v>
      </c>
      <c r="AI3" t="s">
        <v>21</v>
      </c>
      <c r="AJ3" s="12">
        <v>0.37</v>
      </c>
      <c r="AK3" s="16"/>
      <c r="AL3" s="3"/>
      <c r="AM3" s="17"/>
      <c r="AN3" s="17"/>
      <c r="AO3" s="18"/>
      <c r="AT3" t="s">
        <v>648</v>
      </c>
      <c r="AU3" s="2">
        <f>3*AU2</f>
        <v>0.03</v>
      </c>
      <c r="AV3" s="2">
        <f t="shared" ref="AV3:BD3" si="0">3*AV2</f>
        <v>0.06</v>
      </c>
      <c r="AW3" s="2">
        <f t="shared" si="0"/>
        <v>0.09</v>
      </c>
      <c r="AX3" s="2">
        <f t="shared" si="0"/>
        <v>0.15</v>
      </c>
      <c r="AY3" s="2">
        <f t="shared" si="0"/>
        <v>0.3</v>
      </c>
      <c r="AZ3" s="2">
        <f t="shared" si="0"/>
        <v>0.45</v>
      </c>
      <c r="BA3" s="2">
        <f t="shared" si="0"/>
        <v>0.6</v>
      </c>
      <c r="BB3" s="2">
        <f t="shared" si="0"/>
        <v>0.9</v>
      </c>
      <c r="BC3" s="2">
        <f t="shared" si="0"/>
        <v>1.5</v>
      </c>
      <c r="BD3" s="2">
        <f t="shared" si="0"/>
        <v>2.25</v>
      </c>
    </row>
    <row r="4" spans="1:56">
      <c r="A4" s="19" t="s">
        <v>152</v>
      </c>
      <c r="B4" s="23" t="s">
        <v>26</v>
      </c>
      <c r="C4" s="25" t="s">
        <v>140</v>
      </c>
      <c r="D4" s="8" t="s">
        <v>153</v>
      </c>
      <c r="E4" s="8" t="s">
        <v>154</v>
      </c>
      <c r="F4" s="19" t="s">
        <v>254</v>
      </c>
      <c r="G4" s="28" t="s">
        <v>30</v>
      </c>
      <c r="H4" s="29" t="s">
        <v>120</v>
      </c>
      <c r="I4" s="30" t="s">
        <v>835</v>
      </c>
      <c r="J4" s="30" t="s">
        <v>210</v>
      </c>
      <c r="K4" t="s">
        <v>836</v>
      </c>
      <c r="M4" s="7"/>
      <c r="N4" s="8"/>
      <c r="O4" s="8"/>
      <c r="P4" s="31" t="s">
        <v>837</v>
      </c>
      <c r="Q4" s="23" t="s">
        <v>26</v>
      </c>
      <c r="R4" s="32" t="s">
        <v>17</v>
      </c>
      <c r="S4" s="8" t="s">
        <v>99</v>
      </c>
      <c r="T4" s="8" t="s">
        <v>28</v>
      </c>
      <c r="X4" t="s">
        <v>838</v>
      </c>
      <c r="Y4" s="11" t="s">
        <v>603</v>
      </c>
      <c r="Z4" t="s">
        <v>26</v>
      </c>
      <c r="AA4" s="12">
        <v>0.43</v>
      </c>
      <c r="AB4" s="13" t="s">
        <v>603</v>
      </c>
      <c r="AC4" t="s">
        <v>30</v>
      </c>
      <c r="AD4" s="12">
        <v>0.43</v>
      </c>
      <c r="AE4" s="14" t="s">
        <v>603</v>
      </c>
      <c r="AF4" t="s">
        <v>16</v>
      </c>
      <c r="AG4" s="12">
        <v>0.43</v>
      </c>
      <c r="AH4" s="15" t="s">
        <v>603</v>
      </c>
      <c r="AI4" t="s">
        <v>21</v>
      </c>
      <c r="AJ4" s="12">
        <v>0.43</v>
      </c>
      <c r="AK4" s="16" t="s">
        <v>839</v>
      </c>
      <c r="AL4" s="3" t="s">
        <v>831</v>
      </c>
      <c r="AM4" s="18" t="s">
        <v>840</v>
      </c>
      <c r="AN4" s="18" t="s">
        <v>841</v>
      </c>
      <c r="AO4" s="18" t="s">
        <v>841</v>
      </c>
      <c r="AX4" t="s">
        <v>842</v>
      </c>
      <c r="AZ4" t="s">
        <v>843</v>
      </c>
      <c r="BB4" t="s">
        <v>844</v>
      </c>
    </row>
    <row r="5" spans="1:56">
      <c r="A5" s="19" t="s">
        <v>119</v>
      </c>
      <c r="B5" s="23" t="s">
        <v>26</v>
      </c>
      <c r="C5" s="29" t="s">
        <v>120</v>
      </c>
      <c r="D5" s="8" t="s">
        <v>121</v>
      </c>
      <c r="E5" s="8" t="s">
        <v>122</v>
      </c>
      <c r="F5" s="22" t="s">
        <v>256</v>
      </c>
      <c r="G5" s="20" t="s">
        <v>21</v>
      </c>
      <c r="H5" s="10" t="s">
        <v>82</v>
      </c>
      <c r="I5" s="8" t="s">
        <v>257</v>
      </c>
      <c r="J5" s="8" t="s">
        <v>258</v>
      </c>
      <c r="K5" s="19" t="s">
        <v>349</v>
      </c>
      <c r="L5" s="24" t="s">
        <v>16</v>
      </c>
      <c r="M5" s="21" t="s">
        <v>149</v>
      </c>
      <c r="N5" s="8" t="s">
        <v>168</v>
      </c>
      <c r="O5" s="8" t="s">
        <v>316</v>
      </c>
      <c r="P5" s="33" t="s">
        <v>429</v>
      </c>
      <c r="Q5" s="23" t="s">
        <v>26</v>
      </c>
      <c r="R5" s="10" t="s">
        <v>82</v>
      </c>
      <c r="S5" s="8" t="s">
        <v>196</v>
      </c>
      <c r="T5" s="8" t="s">
        <v>198</v>
      </c>
      <c r="Y5" s="11" t="s">
        <v>845</v>
      </c>
      <c r="Z5" t="s">
        <v>26</v>
      </c>
      <c r="AA5" s="12">
        <v>0.55</v>
      </c>
      <c r="AB5" s="13" t="s">
        <v>606</v>
      </c>
      <c r="AC5" t="s">
        <v>30</v>
      </c>
      <c r="AD5" s="12">
        <v>0.25</v>
      </c>
      <c r="AE5" s="14" t="s">
        <v>606</v>
      </c>
      <c r="AF5" t="s">
        <v>16</v>
      </c>
      <c r="AG5" s="12">
        <v>0.25</v>
      </c>
      <c r="AH5" s="15" t="s">
        <v>604</v>
      </c>
      <c r="AI5" t="s">
        <v>21</v>
      </c>
      <c r="AJ5" s="12">
        <v>0.55</v>
      </c>
      <c r="AK5" s="16"/>
      <c r="AL5" s="3"/>
      <c r="AM5" s="18"/>
      <c r="AN5" s="18"/>
      <c r="AO5" s="18"/>
      <c r="AX5" t="s">
        <v>846</v>
      </c>
      <c r="AZ5" t="s">
        <v>847</v>
      </c>
      <c r="BB5" t="s">
        <v>848</v>
      </c>
      <c r="BC5" t="s">
        <v>849</v>
      </c>
    </row>
    <row r="6" spans="1:56">
      <c r="A6" s="19" t="s">
        <v>155</v>
      </c>
      <c r="B6" s="23" t="s">
        <v>26</v>
      </c>
      <c r="C6" s="29" t="s">
        <v>120</v>
      </c>
      <c r="D6" s="8" t="s">
        <v>156</v>
      </c>
      <c r="E6" s="8" t="s">
        <v>126</v>
      </c>
      <c r="F6" s="34" t="s">
        <v>259</v>
      </c>
      <c r="G6" s="28" t="s">
        <v>30</v>
      </c>
      <c r="H6" s="10" t="s">
        <v>82</v>
      </c>
      <c r="I6" s="30" t="s">
        <v>260</v>
      </c>
      <c r="J6" s="30" t="s">
        <v>185</v>
      </c>
      <c r="K6" s="19" t="s">
        <v>350</v>
      </c>
      <c r="L6" s="28" t="s">
        <v>30</v>
      </c>
      <c r="M6" s="25" t="s">
        <v>140</v>
      </c>
      <c r="N6" s="30" t="s">
        <v>144</v>
      </c>
      <c r="O6" s="30" t="s">
        <v>351</v>
      </c>
      <c r="P6" s="31" t="s">
        <v>850</v>
      </c>
      <c r="Q6" s="20" t="s">
        <v>21</v>
      </c>
      <c r="R6" s="35" t="s">
        <v>22</v>
      </c>
      <c r="S6" s="8" t="s">
        <v>101</v>
      </c>
      <c r="T6" s="8" t="s">
        <v>102</v>
      </c>
      <c r="Y6" s="11" t="s">
        <v>606</v>
      </c>
      <c r="Z6" t="s">
        <v>26</v>
      </c>
      <c r="AA6" s="12">
        <v>0.25</v>
      </c>
      <c r="AH6" s="15" t="s">
        <v>606</v>
      </c>
      <c r="AI6" t="s">
        <v>21</v>
      </c>
      <c r="AJ6" s="12">
        <v>0.25</v>
      </c>
      <c r="AK6" s="36" t="s">
        <v>851</v>
      </c>
      <c r="AL6" s="2" t="s">
        <v>21</v>
      </c>
      <c r="AM6" s="12">
        <v>0.5</v>
      </c>
      <c r="AN6" s="12">
        <v>0.5</v>
      </c>
      <c r="AO6" s="12">
        <v>0.5</v>
      </c>
    </row>
    <row r="7" spans="1:56">
      <c r="A7" s="19" t="s">
        <v>123</v>
      </c>
      <c r="B7" s="23" t="s">
        <v>26</v>
      </c>
      <c r="C7" s="37" t="s">
        <v>124</v>
      </c>
      <c r="D7" s="8" t="s">
        <v>125</v>
      </c>
      <c r="E7" s="8" t="s">
        <v>126</v>
      </c>
      <c r="F7" s="19" t="s">
        <v>261</v>
      </c>
      <c r="G7" s="23" t="s">
        <v>26</v>
      </c>
      <c r="H7" s="21" t="s">
        <v>149</v>
      </c>
      <c r="I7" s="8" t="s">
        <v>262</v>
      </c>
      <c r="J7" s="8" t="s">
        <v>182</v>
      </c>
      <c r="K7" s="22" t="s">
        <v>352</v>
      </c>
      <c r="L7" s="23" t="s">
        <v>26</v>
      </c>
      <c r="M7" s="10" t="s">
        <v>82</v>
      </c>
      <c r="N7" s="8" t="s">
        <v>353</v>
      </c>
      <c r="O7" s="8" t="s">
        <v>215</v>
      </c>
      <c r="P7" s="19" t="s">
        <v>430</v>
      </c>
      <c r="Q7" s="20" t="s">
        <v>21</v>
      </c>
      <c r="R7" s="37" t="s">
        <v>124</v>
      </c>
      <c r="S7" s="8" t="s">
        <v>357</v>
      </c>
      <c r="T7" s="8" t="s">
        <v>59</v>
      </c>
      <c r="Y7"/>
      <c r="AH7" s="38" t="s">
        <v>605</v>
      </c>
      <c r="AI7" t="s">
        <v>21</v>
      </c>
      <c r="AJ7" s="12">
        <v>0.29</v>
      </c>
      <c r="AK7" s="36" t="s">
        <v>640</v>
      </c>
      <c r="AL7" s="2" t="s">
        <v>21</v>
      </c>
      <c r="AM7" s="12">
        <v>0.55</v>
      </c>
      <c r="AN7" s="12">
        <v>0.55</v>
      </c>
      <c r="AO7" s="12">
        <v>0.55</v>
      </c>
      <c r="AT7" t="s">
        <v>852</v>
      </c>
      <c r="AU7" t="s">
        <v>853</v>
      </c>
      <c r="AV7" t="s">
        <v>854</v>
      </c>
      <c r="AW7" t="s">
        <v>855</v>
      </c>
      <c r="AX7" t="s">
        <v>856</v>
      </c>
      <c r="AY7" t="s">
        <v>857</v>
      </c>
      <c r="AZ7" t="s">
        <v>858</v>
      </c>
    </row>
    <row r="8" spans="1:56">
      <c r="A8" s="19" t="s">
        <v>157</v>
      </c>
      <c r="B8" s="23" t="s">
        <v>26</v>
      </c>
      <c r="C8" s="21" t="s">
        <v>149</v>
      </c>
      <c r="D8" s="8" t="s">
        <v>158</v>
      </c>
      <c r="E8" s="8" t="s">
        <v>159</v>
      </c>
      <c r="F8" t="s">
        <v>859</v>
      </c>
      <c r="H8" s="7"/>
      <c r="I8" s="8"/>
      <c r="J8" s="8"/>
      <c r="K8" s="31" t="s">
        <v>860</v>
      </c>
      <c r="L8" s="20" t="s">
        <v>21</v>
      </c>
      <c r="M8" s="39" t="s">
        <v>31</v>
      </c>
      <c r="N8" s="8" t="s">
        <v>306</v>
      </c>
      <c r="O8" s="8" t="s">
        <v>307</v>
      </c>
      <c r="P8" s="31" t="s">
        <v>861</v>
      </c>
      <c r="Q8" s="23" t="s">
        <v>26</v>
      </c>
      <c r="R8" s="35" t="s">
        <v>22</v>
      </c>
      <c r="S8" s="8" t="s">
        <v>44</v>
      </c>
      <c r="T8" s="8" t="s">
        <v>67</v>
      </c>
      <c r="X8" t="s">
        <v>862</v>
      </c>
      <c r="Y8" s="11" t="s">
        <v>607</v>
      </c>
      <c r="Z8" t="s">
        <v>26</v>
      </c>
      <c r="AA8" s="12">
        <v>0.11</v>
      </c>
      <c r="AB8" s="13" t="s">
        <v>607</v>
      </c>
      <c r="AC8" t="s">
        <v>30</v>
      </c>
      <c r="AD8" s="12">
        <v>0.11</v>
      </c>
      <c r="AE8" s="14" t="s">
        <v>607</v>
      </c>
      <c r="AF8" t="s">
        <v>16</v>
      </c>
      <c r="AG8" s="12">
        <v>0.11</v>
      </c>
      <c r="AH8" s="15" t="s">
        <v>607</v>
      </c>
      <c r="AI8" t="s">
        <v>21</v>
      </c>
      <c r="AJ8" s="12">
        <v>0.11</v>
      </c>
      <c r="AK8" s="36" t="s">
        <v>863</v>
      </c>
      <c r="AL8" s="2" t="s">
        <v>16</v>
      </c>
      <c r="AM8" s="12">
        <v>0.17</v>
      </c>
      <c r="AN8" s="12">
        <v>0.17</v>
      </c>
      <c r="AO8" s="12">
        <v>0.17</v>
      </c>
      <c r="AT8" t="s">
        <v>864</v>
      </c>
      <c r="AU8">
        <v>20</v>
      </c>
      <c r="AV8">
        <v>50</v>
      </c>
      <c r="AW8">
        <v>100</v>
      </c>
      <c r="AX8">
        <v>200</v>
      </c>
      <c r="AY8">
        <v>400</v>
      </c>
      <c r="AZ8">
        <v>600</v>
      </c>
    </row>
    <row r="9" spans="1:56">
      <c r="A9" s="19" t="s">
        <v>160</v>
      </c>
      <c r="B9" s="20" t="s">
        <v>21</v>
      </c>
      <c r="C9" s="21" t="s">
        <v>149</v>
      </c>
      <c r="D9" s="8" t="s">
        <v>150</v>
      </c>
      <c r="E9" s="8" t="s">
        <v>161</v>
      </c>
      <c r="F9" s="19" t="s">
        <v>263</v>
      </c>
      <c r="G9" s="20" t="s">
        <v>21</v>
      </c>
      <c r="H9" s="21" t="s">
        <v>149</v>
      </c>
      <c r="I9" s="8" t="s">
        <v>150</v>
      </c>
      <c r="J9" s="8" t="s">
        <v>161</v>
      </c>
      <c r="K9" s="31" t="s">
        <v>865</v>
      </c>
      <c r="L9" s="20" t="s">
        <v>21</v>
      </c>
      <c r="M9" s="39" t="s">
        <v>31</v>
      </c>
      <c r="N9" s="8" t="s">
        <v>105</v>
      </c>
      <c r="O9" s="8" t="s">
        <v>106</v>
      </c>
      <c r="P9" s="33" t="s">
        <v>431</v>
      </c>
      <c r="Q9" s="23" t="s">
        <v>26</v>
      </c>
      <c r="R9" s="10" t="s">
        <v>82</v>
      </c>
      <c r="S9" s="8" t="s">
        <v>196</v>
      </c>
      <c r="T9" s="8" t="s">
        <v>195</v>
      </c>
      <c r="X9" t="s">
        <v>866</v>
      </c>
      <c r="Y9" s="11" t="s">
        <v>867</v>
      </c>
      <c r="Z9" t="s">
        <v>26</v>
      </c>
      <c r="AA9" s="12">
        <v>0.56</v>
      </c>
      <c r="AB9" s="13" t="s">
        <v>608</v>
      </c>
      <c r="AC9" t="s">
        <v>30</v>
      </c>
      <c r="AD9" s="12">
        <v>0.13</v>
      </c>
      <c r="AE9" s="14" t="s">
        <v>608</v>
      </c>
      <c r="AF9" t="s">
        <v>16</v>
      </c>
      <c r="AG9" s="12">
        <v>0.13</v>
      </c>
      <c r="AH9" s="15" t="s">
        <v>608</v>
      </c>
      <c r="AI9" t="s">
        <v>21</v>
      </c>
      <c r="AJ9" s="12">
        <v>0.13</v>
      </c>
      <c r="AK9" s="36" t="s">
        <v>868</v>
      </c>
      <c r="AL9" s="2" t="s">
        <v>21</v>
      </c>
      <c r="AM9" s="12">
        <v>1</v>
      </c>
      <c r="AN9" s="12">
        <v>0.8</v>
      </c>
      <c r="AO9" s="12">
        <v>0</v>
      </c>
    </row>
    <row r="10" spans="1:56">
      <c r="A10" t="s">
        <v>838</v>
      </c>
      <c r="F10" t="s">
        <v>869</v>
      </c>
      <c r="H10" s="7"/>
      <c r="I10" s="8"/>
      <c r="J10" s="8"/>
      <c r="K10" s="19" t="s">
        <v>354</v>
      </c>
      <c r="L10" s="20" t="s">
        <v>21</v>
      </c>
      <c r="M10" s="21" t="s">
        <v>149</v>
      </c>
      <c r="N10" s="8" t="s">
        <v>355</v>
      </c>
      <c r="O10" s="8" t="s">
        <v>151</v>
      </c>
      <c r="P10" s="19" t="s">
        <v>432</v>
      </c>
      <c r="Q10" s="28" t="s">
        <v>30</v>
      </c>
      <c r="R10" s="29" t="s">
        <v>120</v>
      </c>
      <c r="S10" s="30" t="s">
        <v>433</v>
      </c>
      <c r="T10" s="30" t="s">
        <v>434</v>
      </c>
      <c r="Y10" s="11" t="s">
        <v>608</v>
      </c>
      <c r="Z10" t="s">
        <v>26</v>
      </c>
      <c r="AA10" s="12">
        <v>0.13</v>
      </c>
      <c r="AB10" s="13" t="s">
        <v>609</v>
      </c>
      <c r="AC10" t="s">
        <v>30</v>
      </c>
      <c r="AD10" s="12">
        <v>0.09</v>
      </c>
      <c r="AE10" s="14" t="s">
        <v>609</v>
      </c>
      <c r="AF10" t="s">
        <v>16</v>
      </c>
      <c r="AG10" s="12">
        <v>0.09</v>
      </c>
      <c r="AH10" s="15" t="s">
        <v>609</v>
      </c>
      <c r="AI10" t="s">
        <v>21</v>
      </c>
      <c r="AJ10" s="12">
        <v>0.09</v>
      </c>
      <c r="AK10" s="36" t="s">
        <v>870</v>
      </c>
      <c r="AL10" s="2" t="s">
        <v>26</v>
      </c>
      <c r="AM10" s="12">
        <v>1</v>
      </c>
      <c r="AN10" s="12">
        <v>1</v>
      </c>
      <c r="AO10" s="12">
        <v>0</v>
      </c>
      <c r="AT10" t="s">
        <v>871</v>
      </c>
      <c r="AU10" s="5">
        <v>300</v>
      </c>
      <c r="AV10" s="5">
        <v>500</v>
      </c>
      <c r="AW10" s="5">
        <v>800</v>
      </c>
      <c r="AX10" s="5">
        <v>3000</v>
      </c>
      <c r="AY10" s="5">
        <v>4000</v>
      </c>
      <c r="AZ10" s="5">
        <v>8000</v>
      </c>
      <c r="BA10" s="5">
        <v>30000</v>
      </c>
      <c r="BB10" s="5">
        <v>60000</v>
      </c>
    </row>
    <row r="11" spans="1:56">
      <c r="A11" s="19" t="s">
        <v>162</v>
      </c>
      <c r="B11" s="20" t="s">
        <v>21</v>
      </c>
      <c r="C11" s="21" t="s">
        <v>149</v>
      </c>
      <c r="D11" s="8" t="s">
        <v>150</v>
      </c>
      <c r="E11" s="8" t="s">
        <v>163</v>
      </c>
      <c r="F11" s="31" t="s">
        <v>872</v>
      </c>
      <c r="G11" s="28" t="s">
        <v>30</v>
      </c>
      <c r="H11" s="40" t="s">
        <v>43</v>
      </c>
      <c r="I11" s="30" t="s">
        <v>56</v>
      </c>
      <c r="J11" s="30" t="s">
        <v>50</v>
      </c>
      <c r="K11" s="19" t="s">
        <v>139</v>
      </c>
      <c r="L11" s="20" t="s">
        <v>21</v>
      </c>
      <c r="M11" s="25" t="s">
        <v>140</v>
      </c>
      <c r="N11" s="8" t="s">
        <v>141</v>
      </c>
      <c r="O11" s="8" t="s">
        <v>142</v>
      </c>
      <c r="P11" s="31" t="s">
        <v>873</v>
      </c>
      <c r="Q11" s="20" t="s">
        <v>21</v>
      </c>
      <c r="R11" s="32" t="s">
        <v>17</v>
      </c>
      <c r="S11" s="8" t="s">
        <v>105</v>
      </c>
      <c r="T11" s="8" t="s">
        <v>106</v>
      </c>
      <c r="Y11" s="11" t="s">
        <v>609</v>
      </c>
      <c r="Z11" t="s">
        <v>26</v>
      </c>
      <c r="AA11" s="12">
        <v>0.09</v>
      </c>
      <c r="AK11" s="36" t="s">
        <v>874</v>
      </c>
      <c r="AL11" s="2" t="s">
        <v>30</v>
      </c>
      <c r="AM11" s="12">
        <v>0.5</v>
      </c>
      <c r="AN11" s="12">
        <v>0.5</v>
      </c>
      <c r="AO11" s="12">
        <v>0.5</v>
      </c>
      <c r="AT11" t="s">
        <v>734</v>
      </c>
      <c r="AU11" s="5" t="s">
        <v>149</v>
      </c>
      <c r="AV11" s="5" t="s">
        <v>120</v>
      </c>
      <c r="AW11" s="5" t="s">
        <v>124</v>
      </c>
      <c r="AX11" s="5" t="s">
        <v>140</v>
      </c>
      <c r="AY11" s="5" t="s">
        <v>875</v>
      </c>
      <c r="AZ11" s="5" t="s">
        <v>31</v>
      </c>
      <c r="BA11" s="5" t="s">
        <v>876</v>
      </c>
      <c r="BB11" s="5" t="s">
        <v>43</v>
      </c>
    </row>
    <row r="12" spans="1:56">
      <c r="A12" s="34" t="s">
        <v>164</v>
      </c>
      <c r="B12" s="20" t="s">
        <v>21</v>
      </c>
      <c r="C12" s="10" t="s">
        <v>82</v>
      </c>
      <c r="D12" s="8" t="s">
        <v>165</v>
      </c>
      <c r="E12" s="8" t="s">
        <v>166</v>
      </c>
      <c r="F12" s="19" t="s">
        <v>264</v>
      </c>
      <c r="G12" s="24" t="s">
        <v>16</v>
      </c>
      <c r="H12" s="29" t="s">
        <v>120</v>
      </c>
      <c r="I12" s="8" t="s">
        <v>168</v>
      </c>
      <c r="J12" s="8" t="s">
        <v>265</v>
      </c>
      <c r="K12" s="19" t="s">
        <v>356</v>
      </c>
      <c r="L12" s="20" t="s">
        <v>21</v>
      </c>
      <c r="M12" s="25" t="s">
        <v>140</v>
      </c>
      <c r="N12" s="8" t="s">
        <v>357</v>
      </c>
      <c r="O12" s="8" t="s">
        <v>274</v>
      </c>
      <c r="P12" s="33" t="s">
        <v>435</v>
      </c>
      <c r="Q12" s="24" t="s">
        <v>16</v>
      </c>
      <c r="R12" s="10" t="s">
        <v>82</v>
      </c>
      <c r="S12" s="8" t="s">
        <v>310</v>
      </c>
      <c r="T12" s="8" t="s">
        <v>436</v>
      </c>
      <c r="X12" t="s">
        <v>877</v>
      </c>
      <c r="Y12"/>
      <c r="AE12" s="26" t="s">
        <v>568</v>
      </c>
      <c r="AF12" t="s">
        <v>16</v>
      </c>
      <c r="AG12" s="12">
        <v>0.29</v>
      </c>
      <c r="AK12" s="36" t="s">
        <v>878</v>
      </c>
      <c r="AL12" s="2" t="s">
        <v>16</v>
      </c>
      <c r="AM12" s="12">
        <v>0.5</v>
      </c>
      <c r="AN12" s="12">
        <v>1</v>
      </c>
      <c r="AO12" s="12">
        <v>0.5</v>
      </c>
      <c r="AT12" t="s">
        <v>871</v>
      </c>
      <c r="AU12" s="5">
        <v>60</v>
      </c>
      <c r="AV12" s="5">
        <v>120</v>
      </c>
      <c r="AW12" s="5">
        <v>400</v>
      </c>
      <c r="AX12" s="5">
        <v>3000</v>
      </c>
      <c r="AY12" s="5"/>
      <c r="AZ12" s="5"/>
      <c r="BA12" s="5"/>
      <c r="BB12" s="5"/>
    </row>
    <row r="13" spans="1:56">
      <c r="A13" s="31" t="s">
        <v>879</v>
      </c>
      <c r="B13" s="23" t="s">
        <v>26</v>
      </c>
      <c r="C13" s="10" t="s">
        <v>82</v>
      </c>
      <c r="D13" s="8" t="s">
        <v>297</v>
      </c>
      <c r="E13" s="8" t="s">
        <v>298</v>
      </c>
      <c r="F13" s="22" t="s">
        <v>266</v>
      </c>
      <c r="G13" s="28" t="s">
        <v>30</v>
      </c>
      <c r="H13" s="10" t="s">
        <v>82</v>
      </c>
      <c r="I13" s="30" t="s">
        <v>267</v>
      </c>
      <c r="J13" s="30" t="s">
        <v>268</v>
      </c>
      <c r="K13" s="19" t="s">
        <v>358</v>
      </c>
      <c r="L13" s="24" t="s">
        <v>16</v>
      </c>
      <c r="M13" s="21" t="s">
        <v>149</v>
      </c>
      <c r="N13" s="8" t="s">
        <v>262</v>
      </c>
      <c r="O13" s="8" t="s">
        <v>201</v>
      </c>
      <c r="P13" s="34" t="s">
        <v>437</v>
      </c>
      <c r="Q13" s="24" t="s">
        <v>16</v>
      </c>
      <c r="R13" s="10" t="s">
        <v>82</v>
      </c>
      <c r="S13" s="8" t="s">
        <v>174</v>
      </c>
      <c r="T13" s="8" t="s">
        <v>175</v>
      </c>
      <c r="X13" t="s">
        <v>880</v>
      </c>
      <c r="Y13" s="11" t="s">
        <v>610</v>
      </c>
      <c r="Z13" t="s">
        <v>26</v>
      </c>
      <c r="AA13" s="12">
        <v>0.37</v>
      </c>
      <c r="AB13" s="41" t="s">
        <v>528</v>
      </c>
      <c r="AC13" t="s">
        <v>30</v>
      </c>
      <c r="AD13" s="12">
        <v>0.55</v>
      </c>
      <c r="AE13" s="14" t="s">
        <v>610</v>
      </c>
      <c r="AF13" t="s">
        <v>16</v>
      </c>
      <c r="AG13" s="12">
        <v>0.55</v>
      </c>
      <c r="AH13" s="15" t="s">
        <v>610</v>
      </c>
      <c r="AI13" t="s">
        <v>21</v>
      </c>
      <c r="AJ13" s="12">
        <v>0.55</v>
      </c>
      <c r="AK13" s="42" t="s">
        <v>881</v>
      </c>
      <c r="AM13" s="2">
        <f>SUM(AM6:AM12)+15%*7+20%</f>
        <v>5.47</v>
      </c>
      <c r="AN13" s="43">
        <f>SUM(AN6:AN12)+15%*7</f>
        <v>5.57</v>
      </c>
      <c r="AO13" s="43">
        <f>SUM(AO6:AO12)+15%*7</f>
        <v>3.27</v>
      </c>
      <c r="AT13" t="s">
        <v>732</v>
      </c>
      <c r="AU13" s="5" t="s">
        <v>17</v>
      </c>
      <c r="AV13" s="5" t="s">
        <v>22</v>
      </c>
      <c r="AW13" s="5" t="s">
        <v>31</v>
      </c>
      <c r="AX13" s="5" t="s">
        <v>43</v>
      </c>
      <c r="AY13" s="5"/>
      <c r="AZ13" s="5"/>
      <c r="BA13" s="5"/>
      <c r="BB13" s="5"/>
    </row>
    <row r="14" spans="1:56">
      <c r="A14" s="19" t="s">
        <v>167</v>
      </c>
      <c r="B14" s="24" t="s">
        <v>16</v>
      </c>
      <c r="C14" s="21" t="s">
        <v>149</v>
      </c>
      <c r="D14" s="8" t="s">
        <v>168</v>
      </c>
      <c r="E14" s="8" t="s">
        <v>169</v>
      </c>
      <c r="F14" s="19" t="s">
        <v>130</v>
      </c>
      <c r="G14" s="28" t="s">
        <v>30</v>
      </c>
      <c r="H14" s="29" t="s">
        <v>120</v>
      </c>
      <c r="I14" s="30" t="s">
        <v>131</v>
      </c>
      <c r="J14" s="30" t="s">
        <v>132</v>
      </c>
      <c r="K14" s="34" t="s">
        <v>359</v>
      </c>
      <c r="L14" s="20" t="s">
        <v>21</v>
      </c>
      <c r="M14" s="10" t="s">
        <v>82</v>
      </c>
      <c r="N14" s="8" t="s">
        <v>360</v>
      </c>
      <c r="O14" s="8" t="s">
        <v>166</v>
      </c>
      <c r="P14" s="19" t="s">
        <v>438</v>
      </c>
      <c r="Q14" s="28" t="s">
        <v>30</v>
      </c>
      <c r="R14" s="37" t="s">
        <v>124</v>
      </c>
      <c r="S14" s="30" t="s">
        <v>439</v>
      </c>
      <c r="T14" s="30" t="s">
        <v>137</v>
      </c>
      <c r="Y14" s="11" t="s">
        <v>611</v>
      </c>
      <c r="Z14" t="s">
        <v>26</v>
      </c>
      <c r="AA14" s="12">
        <v>0.05</v>
      </c>
      <c r="AB14" s="13" t="s">
        <v>611</v>
      </c>
      <c r="AC14" t="s">
        <v>30</v>
      </c>
      <c r="AD14" s="12">
        <v>0.05</v>
      </c>
      <c r="AE14" s="14" t="s">
        <v>611</v>
      </c>
      <c r="AF14" t="s">
        <v>16</v>
      </c>
      <c r="AG14" s="12">
        <v>0.05</v>
      </c>
      <c r="AH14" s="15" t="s">
        <v>611</v>
      </c>
      <c r="AI14" t="s">
        <v>21</v>
      </c>
      <c r="AJ14" s="12">
        <v>0.05</v>
      </c>
    </row>
    <row r="15" spans="1:56">
      <c r="A15" t="s">
        <v>862</v>
      </c>
      <c r="F15" s="19" t="s">
        <v>269</v>
      </c>
      <c r="G15" s="28" t="s">
        <v>30</v>
      </c>
      <c r="H15" s="21" t="s">
        <v>149</v>
      </c>
      <c r="I15" s="30" t="s">
        <v>204</v>
      </c>
      <c r="J15" s="30" t="s">
        <v>249</v>
      </c>
      <c r="K15" s="34" t="s">
        <v>361</v>
      </c>
      <c r="L15" s="24" t="s">
        <v>16</v>
      </c>
      <c r="M15" s="10" t="s">
        <v>82</v>
      </c>
      <c r="N15" s="8" t="s">
        <v>175</v>
      </c>
      <c r="O15" s="8" t="s">
        <v>362</v>
      </c>
      <c r="P15" s="22" t="s">
        <v>440</v>
      </c>
      <c r="Q15" s="28" t="s">
        <v>30</v>
      </c>
      <c r="R15" s="10" t="s">
        <v>82</v>
      </c>
      <c r="S15" s="30" t="s">
        <v>441</v>
      </c>
      <c r="T15" s="30" t="s">
        <v>267</v>
      </c>
      <c r="Y15" s="11" t="s">
        <v>882</v>
      </c>
      <c r="Z15" t="s">
        <v>26</v>
      </c>
      <c r="AA15" s="12">
        <v>0.49</v>
      </c>
      <c r="AB15" s="13" t="s">
        <v>882</v>
      </c>
      <c r="AC15" t="s">
        <v>30</v>
      </c>
      <c r="AD15" s="12">
        <v>0.49</v>
      </c>
      <c r="AE15" s="14" t="s">
        <v>882</v>
      </c>
      <c r="AF15" t="s">
        <v>16</v>
      </c>
      <c r="AG15" s="12">
        <v>0.49</v>
      </c>
      <c r="AH15" s="15" t="s">
        <v>882</v>
      </c>
      <c r="AI15" t="s">
        <v>21</v>
      </c>
      <c r="AJ15" s="12">
        <v>0.49</v>
      </c>
      <c r="AT15" t="s">
        <v>883</v>
      </c>
      <c r="AU15" t="s">
        <v>884</v>
      </c>
      <c r="AV15" t="s">
        <v>784</v>
      </c>
      <c r="AW15" t="s">
        <v>788</v>
      </c>
      <c r="AX15" t="s">
        <v>790</v>
      </c>
      <c r="AY15" t="s">
        <v>792</v>
      </c>
      <c r="AZ15" t="s">
        <v>793</v>
      </c>
    </row>
    <row r="16" spans="1:56">
      <c r="A16" s="34" t="s">
        <v>173</v>
      </c>
      <c r="B16" s="24" t="s">
        <v>16</v>
      </c>
      <c r="C16" s="10" t="s">
        <v>82</v>
      </c>
      <c r="D16" s="8" t="s">
        <v>174</v>
      </c>
      <c r="E16" s="8" t="s">
        <v>175</v>
      </c>
      <c r="F16" s="19" t="s">
        <v>270</v>
      </c>
      <c r="G16" s="20" t="s">
        <v>21</v>
      </c>
      <c r="H16" s="21" t="s">
        <v>149</v>
      </c>
      <c r="I16" s="8" t="s">
        <v>271</v>
      </c>
      <c r="J16" s="8" t="s">
        <v>151</v>
      </c>
      <c r="K16" s="33" t="s">
        <v>363</v>
      </c>
      <c r="L16" s="28" t="s">
        <v>30</v>
      </c>
      <c r="M16" s="10" t="s">
        <v>82</v>
      </c>
      <c r="N16" s="30" t="s">
        <v>364</v>
      </c>
      <c r="O16" s="30" t="s">
        <v>311</v>
      </c>
      <c r="P16" s="31" t="s">
        <v>885</v>
      </c>
      <c r="Q16" s="28" t="s">
        <v>30</v>
      </c>
      <c r="R16" s="32" t="s">
        <v>17</v>
      </c>
      <c r="S16" s="30" t="s">
        <v>108</v>
      </c>
      <c r="T16" s="30" t="s">
        <v>50</v>
      </c>
      <c r="X16" t="s">
        <v>886</v>
      </c>
      <c r="Y16" s="11" t="s">
        <v>613</v>
      </c>
      <c r="Z16" t="s">
        <v>26</v>
      </c>
      <c r="AA16" s="12">
        <v>0.45</v>
      </c>
      <c r="AB16" s="13" t="s">
        <v>613</v>
      </c>
      <c r="AC16" t="s">
        <v>30</v>
      </c>
      <c r="AD16" s="12">
        <v>0.45</v>
      </c>
      <c r="AE16" s="14" t="s">
        <v>613</v>
      </c>
      <c r="AF16" t="s">
        <v>16</v>
      </c>
      <c r="AG16" s="12">
        <v>0.45</v>
      </c>
      <c r="AH16" s="15" t="s">
        <v>613</v>
      </c>
      <c r="AI16" t="s">
        <v>21</v>
      </c>
      <c r="AJ16" s="12">
        <v>0.45</v>
      </c>
      <c r="AT16" t="s">
        <v>887</v>
      </c>
      <c r="AU16">
        <v>30</v>
      </c>
      <c r="AV16">
        <v>50</v>
      </c>
      <c r="AW16">
        <v>50</v>
      </c>
      <c r="AX16">
        <v>100</v>
      </c>
      <c r="AY16">
        <v>30</v>
      </c>
      <c r="AZ16">
        <v>12</v>
      </c>
    </row>
    <row r="17" spans="1:54">
      <c r="A17" s="31" t="s">
        <v>888</v>
      </c>
      <c r="B17" s="24" t="s">
        <v>16</v>
      </c>
      <c r="C17" s="32" t="s">
        <v>17</v>
      </c>
      <c r="D17" s="8" t="s">
        <v>18</v>
      </c>
      <c r="E17" s="8" t="s">
        <v>19</v>
      </c>
      <c r="F17" s="19" t="s">
        <v>272</v>
      </c>
      <c r="G17" s="20" t="s">
        <v>21</v>
      </c>
      <c r="H17" s="25" t="s">
        <v>140</v>
      </c>
      <c r="I17" s="8" t="s">
        <v>273</v>
      </c>
      <c r="J17" s="8" t="s">
        <v>274</v>
      </c>
      <c r="K17" s="19" t="s">
        <v>367</v>
      </c>
      <c r="L17" s="24" t="s">
        <v>16</v>
      </c>
      <c r="M17" s="37" t="s">
        <v>124</v>
      </c>
      <c r="N17" s="8" t="s">
        <v>201</v>
      </c>
      <c r="O17" s="8" t="s">
        <v>368</v>
      </c>
      <c r="P17" s="33" t="s">
        <v>442</v>
      </c>
      <c r="Q17" s="28" t="s">
        <v>30</v>
      </c>
      <c r="R17" s="10" t="s">
        <v>82</v>
      </c>
      <c r="S17" s="30" t="s">
        <v>443</v>
      </c>
      <c r="T17" s="30" t="s">
        <v>311</v>
      </c>
      <c r="X17" t="s">
        <v>827</v>
      </c>
      <c r="Y17" s="11" t="s">
        <v>614</v>
      </c>
      <c r="Z17" t="s">
        <v>26</v>
      </c>
      <c r="AA17" s="12">
        <v>0.41</v>
      </c>
      <c r="AB17" s="41" t="s">
        <v>532</v>
      </c>
      <c r="AC17" t="s">
        <v>30</v>
      </c>
      <c r="AD17" s="12">
        <v>0.41</v>
      </c>
      <c r="AE17" s="14" t="s">
        <v>614</v>
      </c>
      <c r="AF17" t="s">
        <v>16</v>
      </c>
      <c r="AG17" s="12">
        <v>0.41</v>
      </c>
      <c r="AH17" s="15" t="s">
        <v>614</v>
      </c>
      <c r="AI17" t="s">
        <v>21</v>
      </c>
      <c r="AJ17" s="12">
        <v>0.41</v>
      </c>
    </row>
    <row r="18" spans="1:54">
      <c r="A18" s="31" t="s">
        <v>889</v>
      </c>
      <c r="B18" s="20" t="s">
        <v>21</v>
      </c>
      <c r="C18" s="35" t="s">
        <v>22</v>
      </c>
      <c r="D18" s="8" t="s">
        <v>23</v>
      </c>
      <c r="E18" s="8" t="s">
        <v>24</v>
      </c>
      <c r="F18" s="19" t="s">
        <v>275</v>
      </c>
      <c r="G18" s="23" t="s">
        <v>26</v>
      </c>
      <c r="H18" s="25" t="s">
        <v>140</v>
      </c>
      <c r="I18" s="8" t="s">
        <v>276</v>
      </c>
      <c r="J18" s="8" t="s">
        <v>193</v>
      </c>
      <c r="K18" s="34" t="s">
        <v>369</v>
      </c>
      <c r="L18" s="24" t="s">
        <v>16</v>
      </c>
      <c r="M18" s="10" t="s">
        <v>82</v>
      </c>
      <c r="N18" s="8" t="s">
        <v>169</v>
      </c>
      <c r="O18" s="8" t="s">
        <v>174</v>
      </c>
      <c r="P18" s="19" t="s">
        <v>143</v>
      </c>
      <c r="Q18" s="28" t="s">
        <v>30</v>
      </c>
      <c r="R18" s="25" t="s">
        <v>140</v>
      </c>
      <c r="S18" s="30" t="s">
        <v>144</v>
      </c>
      <c r="T18" s="30" t="s">
        <v>145</v>
      </c>
      <c r="Y18" s="11" t="s">
        <v>615</v>
      </c>
      <c r="Z18" t="s">
        <v>26</v>
      </c>
      <c r="AA18" s="12">
        <v>0.45</v>
      </c>
      <c r="AE18" s="14" t="s">
        <v>615</v>
      </c>
      <c r="AF18" t="s">
        <v>16</v>
      </c>
      <c r="AG18" s="12">
        <v>0.45</v>
      </c>
      <c r="AH18" s="15" t="s">
        <v>615</v>
      </c>
      <c r="AI18" t="s">
        <v>21</v>
      </c>
      <c r="AJ18" s="12">
        <v>0.45</v>
      </c>
      <c r="AT18" t="s">
        <v>890</v>
      </c>
      <c r="AU18" t="s">
        <v>701</v>
      </c>
      <c r="AV18" t="s">
        <v>702</v>
      </c>
      <c r="AW18" t="s">
        <v>703</v>
      </c>
      <c r="AX18" t="s">
        <v>891</v>
      </c>
      <c r="AY18" t="s">
        <v>707</v>
      </c>
      <c r="AZ18" t="s">
        <v>708</v>
      </c>
      <c r="BA18" t="s">
        <v>709</v>
      </c>
      <c r="BB18" t="s">
        <v>892</v>
      </c>
    </row>
    <row r="19" spans="1:54">
      <c r="A19" s="34" t="s">
        <v>176</v>
      </c>
      <c r="B19" s="20" t="s">
        <v>21</v>
      </c>
      <c r="C19" s="10" t="s">
        <v>82</v>
      </c>
      <c r="D19" s="8" t="s">
        <v>166</v>
      </c>
      <c r="E19" s="8" t="s">
        <v>177</v>
      </c>
      <c r="F19" s="22" t="s">
        <v>277</v>
      </c>
      <c r="G19" s="24" t="s">
        <v>16</v>
      </c>
      <c r="H19" s="10" t="s">
        <v>82</v>
      </c>
      <c r="I19" s="8" t="s">
        <v>278</v>
      </c>
      <c r="J19" s="8" t="s">
        <v>279</v>
      </c>
      <c r="K19" s="34" t="s">
        <v>370</v>
      </c>
      <c r="L19" s="24" t="s">
        <v>16</v>
      </c>
      <c r="M19" s="10" t="s">
        <v>82</v>
      </c>
      <c r="N19" s="8" t="s">
        <v>174</v>
      </c>
      <c r="O19" s="8" t="s">
        <v>169</v>
      </c>
      <c r="P19" s="19" t="s">
        <v>444</v>
      </c>
      <c r="Q19" s="20" t="s">
        <v>21</v>
      </c>
      <c r="R19" s="25" t="s">
        <v>140</v>
      </c>
      <c r="S19" s="8" t="s">
        <v>190</v>
      </c>
      <c r="T19" s="8" t="s">
        <v>445</v>
      </c>
      <c r="Y19" s="11" t="s">
        <v>616</v>
      </c>
      <c r="Z19" t="s">
        <v>26</v>
      </c>
      <c r="AA19" s="12">
        <v>0.07</v>
      </c>
      <c r="AB19" s="13" t="s">
        <v>616</v>
      </c>
      <c r="AC19" t="s">
        <v>30</v>
      </c>
      <c r="AD19" s="12">
        <v>0.07</v>
      </c>
      <c r="AE19" s="14" t="s">
        <v>616</v>
      </c>
      <c r="AF19" t="s">
        <v>16</v>
      </c>
      <c r="AG19" s="12">
        <v>0.07</v>
      </c>
      <c r="AH19" s="15" t="s">
        <v>616</v>
      </c>
      <c r="AI19" t="s">
        <v>21</v>
      </c>
      <c r="AJ19" s="12">
        <v>0.07</v>
      </c>
      <c r="AT19" t="s">
        <v>647</v>
      </c>
      <c r="AU19">
        <v>800</v>
      </c>
      <c r="AV19">
        <v>500</v>
      </c>
      <c r="AW19">
        <v>8000</v>
      </c>
      <c r="AX19">
        <v>2000</v>
      </c>
      <c r="AY19">
        <v>800</v>
      </c>
      <c r="AZ19">
        <v>2000</v>
      </c>
      <c r="BA19">
        <v>5000</v>
      </c>
      <c r="BB19">
        <v>5000</v>
      </c>
    </row>
    <row r="20" spans="1:54">
      <c r="A20" s="19" t="s">
        <v>178</v>
      </c>
      <c r="B20" s="28" t="s">
        <v>30</v>
      </c>
      <c r="C20" s="25" t="s">
        <v>140</v>
      </c>
      <c r="D20" s="30" t="s">
        <v>179</v>
      </c>
      <c r="E20" s="30" t="s">
        <v>90</v>
      </c>
      <c r="F20" s="31" t="s">
        <v>893</v>
      </c>
      <c r="G20" s="20" t="s">
        <v>21</v>
      </c>
      <c r="H20" s="35" t="s">
        <v>22</v>
      </c>
      <c r="I20" s="8" t="s">
        <v>58</v>
      </c>
      <c r="J20" s="8" t="s">
        <v>59</v>
      </c>
      <c r="K20" s="31" t="s">
        <v>894</v>
      </c>
      <c r="L20" s="23" t="s">
        <v>26</v>
      </c>
      <c r="M20" s="35" t="s">
        <v>22</v>
      </c>
      <c r="N20" s="8" t="s">
        <v>76</v>
      </c>
      <c r="O20" s="8" t="s">
        <v>77</v>
      </c>
      <c r="P20" s="31" t="s">
        <v>895</v>
      </c>
      <c r="Q20" s="24" t="s">
        <v>16</v>
      </c>
      <c r="R20" s="32" t="s">
        <v>17</v>
      </c>
      <c r="S20" s="8" t="s">
        <v>35</v>
      </c>
      <c r="T20" s="8" t="s">
        <v>48</v>
      </c>
      <c r="Y20" s="11" t="s">
        <v>617</v>
      </c>
      <c r="Z20" t="s">
        <v>26</v>
      </c>
      <c r="AA20" s="12">
        <v>0.57</v>
      </c>
      <c r="AB20" s="13" t="s">
        <v>617</v>
      </c>
      <c r="AC20" t="s">
        <v>30</v>
      </c>
      <c r="AD20" s="12">
        <v>0.57</v>
      </c>
      <c r="AE20" s="14" t="s">
        <v>617</v>
      </c>
      <c r="AF20" t="s">
        <v>16</v>
      </c>
      <c r="AG20" s="12">
        <v>0.57</v>
      </c>
      <c r="AH20" s="15" t="s">
        <v>617</v>
      </c>
      <c r="AI20" t="s">
        <v>21</v>
      </c>
      <c r="AJ20" s="12">
        <v>0.57</v>
      </c>
      <c r="AT20" t="s">
        <v>890</v>
      </c>
      <c r="AU20" t="s">
        <v>896</v>
      </c>
      <c r="AX20" t="s">
        <v>897</v>
      </c>
    </row>
    <row r="21" spans="1:54">
      <c r="A21" s="19" t="s">
        <v>180</v>
      </c>
      <c r="B21" s="23" t="s">
        <v>26</v>
      </c>
      <c r="C21" s="25" t="s">
        <v>140</v>
      </c>
      <c r="D21" s="8" t="s">
        <v>181</v>
      </c>
      <c r="E21" s="8" t="s">
        <v>182</v>
      </c>
      <c r="F21" s="31" t="s">
        <v>898</v>
      </c>
      <c r="G21" s="28" t="s">
        <v>30</v>
      </c>
      <c r="H21" s="39" t="s">
        <v>31</v>
      </c>
      <c r="I21" s="30" t="s">
        <v>301</v>
      </c>
      <c r="J21" s="30" t="s">
        <v>302</v>
      </c>
      <c r="K21" s="19" t="s">
        <v>371</v>
      </c>
      <c r="L21" s="24" t="s">
        <v>16</v>
      </c>
      <c r="M21" s="10" t="s">
        <v>82</v>
      </c>
      <c r="N21" s="8" t="s">
        <v>212</v>
      </c>
      <c r="O21" s="8" t="s">
        <v>234</v>
      </c>
      <c r="P21" s="34" t="s">
        <v>446</v>
      </c>
      <c r="Q21" s="24" t="s">
        <v>16</v>
      </c>
      <c r="R21" s="10" t="s">
        <v>82</v>
      </c>
      <c r="S21" s="8" t="s">
        <v>174</v>
      </c>
      <c r="T21" s="8" t="s">
        <v>169</v>
      </c>
      <c r="X21" t="s">
        <v>859</v>
      </c>
      <c r="Y21"/>
      <c r="AB21" s="41" t="s">
        <v>535</v>
      </c>
      <c r="AC21" t="s">
        <v>30</v>
      </c>
      <c r="AD21" s="12">
        <v>0.29</v>
      </c>
      <c r="AH21" s="38" t="s">
        <v>899</v>
      </c>
      <c r="AI21" t="s">
        <v>21</v>
      </c>
      <c r="AJ21" s="12">
        <v>0.57</v>
      </c>
      <c r="AT21" t="s">
        <v>647</v>
      </c>
      <c r="AU21">
        <v>6000</v>
      </c>
      <c r="AX21">
        <v>4000</v>
      </c>
    </row>
    <row r="22" spans="1:54">
      <c r="A22" s="34" t="s">
        <v>183</v>
      </c>
      <c r="B22" s="28" t="s">
        <v>30</v>
      </c>
      <c r="C22" s="10" t="s">
        <v>82</v>
      </c>
      <c r="D22" s="30" t="s">
        <v>184</v>
      </c>
      <c r="E22" s="30" t="s">
        <v>185</v>
      </c>
      <c r="F22" s="19" t="s">
        <v>280</v>
      </c>
      <c r="G22" s="23" t="s">
        <v>26</v>
      </c>
      <c r="H22" s="25" t="s">
        <v>140</v>
      </c>
      <c r="I22" s="8" t="s">
        <v>212</v>
      </c>
      <c r="J22" s="8" t="s">
        <v>182</v>
      </c>
      <c r="K22" s="19" t="s">
        <v>372</v>
      </c>
      <c r="L22" s="24" t="s">
        <v>16</v>
      </c>
      <c r="M22" s="37" t="s">
        <v>124</v>
      </c>
      <c r="N22" s="8" t="s">
        <v>201</v>
      </c>
      <c r="O22" s="8" t="s">
        <v>158</v>
      </c>
      <c r="P22" s="19" t="s">
        <v>146</v>
      </c>
      <c r="Q22" s="24" t="s">
        <v>16</v>
      </c>
      <c r="R22" s="10" t="s">
        <v>82</v>
      </c>
      <c r="S22" s="8" t="s">
        <v>47</v>
      </c>
      <c r="T22" s="8" t="s">
        <v>147</v>
      </c>
      <c r="X22" t="s">
        <v>869</v>
      </c>
      <c r="Y22" s="44" t="s">
        <v>494</v>
      </c>
      <c r="Z22" t="s">
        <v>26</v>
      </c>
      <c r="AA22" s="12">
        <v>0.62</v>
      </c>
      <c r="AT22" t="s">
        <v>646</v>
      </c>
      <c r="AU22" t="s">
        <v>719</v>
      </c>
      <c r="AV22" t="s">
        <v>720</v>
      </c>
      <c r="AW22" t="s">
        <v>721</v>
      </c>
    </row>
    <row r="23" spans="1:54">
      <c r="A23" s="19" t="s">
        <v>186</v>
      </c>
      <c r="B23" s="23" t="s">
        <v>26</v>
      </c>
      <c r="C23" s="25" t="s">
        <v>140</v>
      </c>
      <c r="D23" s="8" t="s">
        <v>125</v>
      </c>
      <c r="E23" s="8" t="s">
        <v>142</v>
      </c>
      <c r="F23" s="19" t="s">
        <v>281</v>
      </c>
      <c r="G23" s="24" t="s">
        <v>16</v>
      </c>
      <c r="H23" s="37" t="s">
        <v>124</v>
      </c>
      <c r="I23" s="8" t="s">
        <v>201</v>
      </c>
      <c r="J23" s="8" t="s">
        <v>236</v>
      </c>
      <c r="K23" t="s">
        <v>900</v>
      </c>
      <c r="M23" s="7"/>
      <c r="N23" s="8"/>
      <c r="O23" s="8"/>
      <c r="P23" s="19" t="s">
        <v>447</v>
      </c>
      <c r="Q23" s="24" t="s">
        <v>16</v>
      </c>
      <c r="R23" s="29" t="s">
        <v>120</v>
      </c>
      <c r="S23" s="8" t="s">
        <v>168</v>
      </c>
      <c r="T23" s="8" t="s">
        <v>368</v>
      </c>
      <c r="Y23" s="11" t="s">
        <v>620</v>
      </c>
      <c r="Z23" t="s">
        <v>26</v>
      </c>
      <c r="AA23" s="12">
        <v>0.33</v>
      </c>
      <c r="AB23" s="13" t="s">
        <v>620</v>
      </c>
      <c r="AC23" t="s">
        <v>30</v>
      </c>
      <c r="AD23" s="12">
        <v>0.33</v>
      </c>
      <c r="AE23" s="14" t="s">
        <v>620</v>
      </c>
      <c r="AF23" t="s">
        <v>16</v>
      </c>
      <c r="AG23" s="12">
        <v>0.33</v>
      </c>
      <c r="AH23" s="15" t="s">
        <v>620</v>
      </c>
      <c r="AI23" t="s">
        <v>21</v>
      </c>
      <c r="AJ23" s="12">
        <v>0.33</v>
      </c>
      <c r="AT23" t="s">
        <v>647</v>
      </c>
      <c r="AU23">
        <v>50</v>
      </c>
      <c r="AV23">
        <v>100</v>
      </c>
      <c r="AW23">
        <v>18</v>
      </c>
    </row>
    <row r="24" spans="1:54">
      <c r="A24" s="26" t="s">
        <v>187</v>
      </c>
      <c r="B24" s="28" t="s">
        <v>30</v>
      </c>
      <c r="C24" s="45" t="s">
        <v>188</v>
      </c>
      <c r="D24" s="30" t="s">
        <v>189</v>
      </c>
      <c r="E24" s="30" t="s">
        <v>190</v>
      </c>
      <c r="F24" s="19" t="s">
        <v>282</v>
      </c>
      <c r="G24" s="23" t="s">
        <v>26</v>
      </c>
      <c r="H24" s="25" t="s">
        <v>140</v>
      </c>
      <c r="I24" s="8" t="s">
        <v>193</v>
      </c>
      <c r="J24" s="8" t="s">
        <v>90</v>
      </c>
      <c r="K24" s="19" t="s">
        <v>373</v>
      </c>
      <c r="L24" s="28" t="s">
        <v>30</v>
      </c>
      <c r="M24" s="29" t="s">
        <v>120</v>
      </c>
      <c r="N24" s="30" t="s">
        <v>374</v>
      </c>
      <c r="O24" s="30" t="s">
        <v>137</v>
      </c>
      <c r="P24" s="31" t="s">
        <v>901</v>
      </c>
      <c r="Q24" s="20" t="s">
        <v>21</v>
      </c>
      <c r="R24" s="40" t="s">
        <v>43</v>
      </c>
      <c r="S24" s="8" t="s">
        <v>114</v>
      </c>
      <c r="T24" s="8" t="s">
        <v>115</v>
      </c>
      <c r="Y24" s="11" t="s">
        <v>902</v>
      </c>
      <c r="Z24" t="s">
        <v>26</v>
      </c>
      <c r="AA24" s="12">
        <v>0.27</v>
      </c>
      <c r="AB24" s="13" t="s">
        <v>902</v>
      </c>
      <c r="AC24" t="s">
        <v>30</v>
      </c>
      <c r="AD24" s="12">
        <v>0.27</v>
      </c>
      <c r="AE24" s="14" t="s">
        <v>902</v>
      </c>
      <c r="AF24" t="s">
        <v>16</v>
      </c>
      <c r="AG24" s="12">
        <v>0.27</v>
      </c>
      <c r="AH24" s="15" t="s">
        <v>902</v>
      </c>
      <c r="AI24" t="s">
        <v>21</v>
      </c>
      <c r="AJ24" s="12">
        <v>0.27</v>
      </c>
    </row>
    <row r="25" spans="1:54">
      <c r="A25" t="s">
        <v>866</v>
      </c>
      <c r="F25" s="19" t="s">
        <v>283</v>
      </c>
      <c r="G25" s="24" t="s">
        <v>16</v>
      </c>
      <c r="H25" s="25" t="s">
        <v>140</v>
      </c>
      <c r="I25" s="8" t="s">
        <v>903</v>
      </c>
      <c r="J25" s="8" t="s">
        <v>90</v>
      </c>
      <c r="K25" s="19" t="s">
        <v>375</v>
      </c>
      <c r="L25" s="20" t="s">
        <v>21</v>
      </c>
      <c r="M25" s="21" t="s">
        <v>149</v>
      </c>
      <c r="N25" s="8" t="s">
        <v>376</v>
      </c>
      <c r="O25" s="8" t="s">
        <v>230</v>
      </c>
      <c r="X25" t="s">
        <v>904</v>
      </c>
      <c r="Y25" s="44" t="s">
        <v>905</v>
      </c>
      <c r="Z25" t="s">
        <v>26</v>
      </c>
      <c r="AA25" s="12">
        <v>0.45</v>
      </c>
      <c r="AB25" s="41" t="s">
        <v>905</v>
      </c>
      <c r="AC25" t="s">
        <v>30</v>
      </c>
      <c r="AD25" s="12">
        <v>0.45</v>
      </c>
      <c r="AE25" s="26" t="s">
        <v>579</v>
      </c>
      <c r="AF25" t="s">
        <v>16</v>
      </c>
      <c r="AG25" s="12">
        <v>0.45</v>
      </c>
      <c r="AH25" s="15" t="s">
        <v>906</v>
      </c>
      <c r="AI25" t="s">
        <v>21</v>
      </c>
      <c r="AJ25" s="12">
        <v>0.45</v>
      </c>
      <c r="AT25" t="s">
        <v>907</v>
      </c>
      <c r="AU25" t="s">
        <v>722</v>
      </c>
      <c r="AV25" t="s">
        <v>724</v>
      </c>
      <c r="AW25" t="s">
        <v>726</v>
      </c>
      <c r="AX25" t="s">
        <v>728</v>
      </c>
      <c r="AY25" t="s">
        <v>730</v>
      </c>
    </row>
    <row r="26" spans="1:54">
      <c r="A26" s="33" t="s">
        <v>194</v>
      </c>
      <c r="B26" s="23" t="s">
        <v>26</v>
      </c>
      <c r="C26" s="10" t="s">
        <v>82</v>
      </c>
      <c r="D26" s="8" t="s">
        <v>195</v>
      </c>
      <c r="E26" s="8" t="s">
        <v>196</v>
      </c>
      <c r="F26" s="19" t="s">
        <v>285</v>
      </c>
      <c r="G26" s="24" t="s">
        <v>16</v>
      </c>
      <c r="H26" s="25" t="s">
        <v>140</v>
      </c>
      <c r="I26" s="8" t="s">
        <v>234</v>
      </c>
      <c r="J26" s="8" t="s">
        <v>265</v>
      </c>
      <c r="K26" s="19" t="s">
        <v>377</v>
      </c>
      <c r="L26" s="23" t="s">
        <v>26</v>
      </c>
      <c r="M26" s="21" t="s">
        <v>149</v>
      </c>
      <c r="N26" s="8" t="s">
        <v>378</v>
      </c>
      <c r="O26" s="8" t="s">
        <v>182</v>
      </c>
      <c r="Y26" s="11" t="s">
        <v>908</v>
      </c>
      <c r="Z26" t="s">
        <v>26</v>
      </c>
      <c r="AA26" s="12">
        <v>0.51</v>
      </c>
      <c r="AB26" s="13" t="s">
        <v>908</v>
      </c>
      <c r="AC26" t="s">
        <v>30</v>
      </c>
      <c r="AD26" s="12">
        <v>0.51</v>
      </c>
      <c r="AE26" s="14" t="s">
        <v>908</v>
      </c>
      <c r="AF26" t="s">
        <v>16</v>
      </c>
      <c r="AG26" s="12">
        <v>0.51</v>
      </c>
      <c r="AH26" s="15" t="s">
        <v>908</v>
      </c>
      <c r="AI26" t="s">
        <v>21</v>
      </c>
      <c r="AJ26" s="12">
        <v>0.51</v>
      </c>
      <c r="AT26" t="s">
        <v>909</v>
      </c>
      <c r="AU26">
        <v>1920000</v>
      </c>
      <c r="AV26">
        <v>2120000</v>
      </c>
      <c r="AW26">
        <v>2320000</v>
      </c>
      <c r="AX26">
        <v>2520000</v>
      </c>
      <c r="AY26">
        <v>4220000</v>
      </c>
    </row>
    <row r="27" spans="1:54">
      <c r="A27" s="33" t="s">
        <v>197</v>
      </c>
      <c r="B27" s="24" t="s">
        <v>16</v>
      </c>
      <c r="C27" s="10" t="s">
        <v>82</v>
      </c>
      <c r="D27" s="8" t="s">
        <v>198</v>
      </c>
      <c r="E27" s="8" t="s">
        <v>199</v>
      </c>
      <c r="F27" s="19" t="s">
        <v>286</v>
      </c>
      <c r="G27" s="24" t="s">
        <v>16</v>
      </c>
      <c r="H27" s="37" t="s">
        <v>124</v>
      </c>
      <c r="I27" s="8" t="s">
        <v>234</v>
      </c>
      <c r="J27" s="8" t="s">
        <v>287</v>
      </c>
      <c r="K27" s="31" t="s">
        <v>910</v>
      </c>
      <c r="L27" s="24" t="s">
        <v>16</v>
      </c>
      <c r="M27" s="35" t="s">
        <v>22</v>
      </c>
      <c r="N27" s="8" t="s">
        <v>79</v>
      </c>
      <c r="O27" s="8" t="s">
        <v>80</v>
      </c>
      <c r="Y27" s="11" t="s">
        <v>624</v>
      </c>
      <c r="Z27" t="s">
        <v>26</v>
      </c>
      <c r="AA27" s="12">
        <v>0.21</v>
      </c>
      <c r="AB27" s="13" t="s">
        <v>624</v>
      </c>
      <c r="AC27" t="s">
        <v>30</v>
      </c>
      <c r="AD27" s="12">
        <v>0.21</v>
      </c>
      <c r="AE27" s="14" t="s">
        <v>624</v>
      </c>
      <c r="AF27" t="s">
        <v>16</v>
      </c>
      <c r="AG27" s="12">
        <v>0.21</v>
      </c>
      <c r="AH27" s="15" t="s">
        <v>624</v>
      </c>
      <c r="AI27" t="s">
        <v>21</v>
      </c>
      <c r="AJ27" s="12">
        <v>0.21</v>
      </c>
      <c r="AT27" t="s">
        <v>911</v>
      </c>
      <c r="AU27">
        <v>40</v>
      </c>
      <c r="AV27">
        <v>80</v>
      </c>
      <c r="AW27">
        <v>120</v>
      </c>
      <c r="AX27">
        <v>200</v>
      </c>
      <c r="AY27">
        <v>800</v>
      </c>
    </row>
    <row r="28" spans="1:54">
      <c r="A28" s="19" t="s">
        <v>200</v>
      </c>
      <c r="B28" s="24" t="s">
        <v>16</v>
      </c>
      <c r="C28" s="29" t="s">
        <v>120</v>
      </c>
      <c r="D28" s="8" t="s">
        <v>168</v>
      </c>
      <c r="E28" s="8" t="s">
        <v>201</v>
      </c>
      <c r="F28" s="31" t="s">
        <v>912</v>
      </c>
      <c r="G28" s="23" t="s">
        <v>26</v>
      </c>
      <c r="H28" s="39" t="s">
        <v>31</v>
      </c>
      <c r="I28" s="8" t="s">
        <v>117</v>
      </c>
      <c r="J28" s="8" t="s">
        <v>80</v>
      </c>
      <c r="K28" t="s">
        <v>913</v>
      </c>
      <c r="M28" s="7"/>
      <c r="N28" s="8"/>
      <c r="O28" s="8"/>
      <c r="Y28" s="11" t="s">
        <v>914</v>
      </c>
      <c r="Z28" t="s">
        <v>26</v>
      </c>
      <c r="AA28" s="12">
        <v>0.53</v>
      </c>
      <c r="AB28" s="13" t="s">
        <v>914</v>
      </c>
      <c r="AC28" t="s">
        <v>30</v>
      </c>
      <c r="AD28" s="12">
        <v>0.53</v>
      </c>
      <c r="AE28" s="14" t="s">
        <v>914</v>
      </c>
      <c r="AF28" t="s">
        <v>16</v>
      </c>
      <c r="AG28" s="12">
        <v>0.53</v>
      </c>
      <c r="AH28" s="15" t="s">
        <v>914</v>
      </c>
      <c r="AI28" t="s">
        <v>21</v>
      </c>
      <c r="AJ28" s="12">
        <v>0.53</v>
      </c>
    </row>
    <row r="29" spans="1:54">
      <c r="A29" s="19" t="s">
        <v>202</v>
      </c>
      <c r="B29" s="23" t="s">
        <v>26</v>
      </c>
      <c r="C29" s="21" t="s">
        <v>149</v>
      </c>
      <c r="D29" s="8" t="s">
        <v>151</v>
      </c>
      <c r="E29" s="8" t="s">
        <v>161</v>
      </c>
      <c r="F29" s="31" t="s">
        <v>915</v>
      </c>
      <c r="G29" s="24" t="s">
        <v>16</v>
      </c>
      <c r="H29" s="39" t="s">
        <v>31</v>
      </c>
      <c r="I29" s="8" t="s">
        <v>61</v>
      </c>
      <c r="J29" s="8" t="s">
        <v>62</v>
      </c>
      <c r="K29" s="19" t="s">
        <v>379</v>
      </c>
      <c r="L29" s="20" t="s">
        <v>21</v>
      </c>
      <c r="M29" s="10" t="s">
        <v>82</v>
      </c>
      <c r="N29" s="8" t="s">
        <v>380</v>
      </c>
      <c r="O29" s="8" t="s">
        <v>91</v>
      </c>
      <c r="Y29" s="11" t="s">
        <v>626</v>
      </c>
      <c r="Z29" t="s">
        <v>26</v>
      </c>
      <c r="AA29" s="12">
        <v>0.45</v>
      </c>
      <c r="AB29" s="13" t="s">
        <v>626</v>
      </c>
      <c r="AC29" t="s">
        <v>30</v>
      </c>
      <c r="AD29" s="12">
        <v>0.45</v>
      </c>
      <c r="AE29" s="14" t="s">
        <v>626</v>
      </c>
      <c r="AF29" t="s">
        <v>16</v>
      </c>
      <c r="AG29" s="12">
        <v>0.45</v>
      </c>
      <c r="AH29" s="15" t="s">
        <v>626</v>
      </c>
      <c r="AI29" t="s">
        <v>21</v>
      </c>
      <c r="AJ29" s="12">
        <v>0.45</v>
      </c>
      <c r="AT29" t="s">
        <v>916</v>
      </c>
      <c r="AU29" t="s">
        <v>736</v>
      </c>
      <c r="AV29" t="s">
        <v>738</v>
      </c>
      <c r="AX29" t="s">
        <v>740</v>
      </c>
      <c r="AY29" t="s">
        <v>917</v>
      </c>
      <c r="AZ29" t="s">
        <v>918</v>
      </c>
      <c r="BA29" t="s">
        <v>746</v>
      </c>
      <c r="BB29" t="s">
        <v>919</v>
      </c>
    </row>
    <row r="30" spans="1:54">
      <c r="A30" s="19" t="s">
        <v>203</v>
      </c>
      <c r="B30" s="28" t="s">
        <v>30</v>
      </c>
      <c r="C30" s="21" t="s">
        <v>149</v>
      </c>
      <c r="D30" s="30" t="s">
        <v>204</v>
      </c>
      <c r="E30" s="30" t="s">
        <v>174</v>
      </c>
      <c r="F30" s="19" t="s">
        <v>288</v>
      </c>
      <c r="G30" s="28" t="s">
        <v>30</v>
      </c>
      <c r="H30" s="21" t="s">
        <v>149</v>
      </c>
      <c r="I30" s="30" t="s">
        <v>204</v>
      </c>
      <c r="J30" s="30" t="s">
        <v>249</v>
      </c>
      <c r="K30" s="22" t="s">
        <v>381</v>
      </c>
      <c r="L30" s="24" t="s">
        <v>16</v>
      </c>
      <c r="M30" s="10" t="s">
        <v>82</v>
      </c>
      <c r="N30" s="8" t="s">
        <v>382</v>
      </c>
      <c r="O30" s="8" t="s">
        <v>279</v>
      </c>
      <c r="X30" t="s">
        <v>920</v>
      </c>
      <c r="Y30" s="11" t="s">
        <v>921</v>
      </c>
      <c r="Z30" t="s">
        <v>26</v>
      </c>
      <c r="AA30" s="12">
        <v>0.55</v>
      </c>
      <c r="AB30" s="13" t="s">
        <v>627</v>
      </c>
      <c r="AC30" t="s">
        <v>30</v>
      </c>
      <c r="AD30" s="12">
        <v>0.45</v>
      </c>
      <c r="AE30" s="14" t="s">
        <v>627</v>
      </c>
      <c r="AF30" t="s">
        <v>16</v>
      </c>
      <c r="AG30" s="12">
        <v>0.45</v>
      </c>
      <c r="AH30" s="15" t="s">
        <v>627</v>
      </c>
      <c r="AI30" t="s">
        <v>21</v>
      </c>
      <c r="AJ30" s="12">
        <v>0.45</v>
      </c>
      <c r="AT30" t="s">
        <v>922</v>
      </c>
      <c r="AU30" t="s">
        <v>737</v>
      </c>
      <c r="AV30" t="s">
        <v>739</v>
      </c>
      <c r="AX30" t="s">
        <v>741</v>
      </c>
      <c r="AY30" t="s">
        <v>743</v>
      </c>
      <c r="AZ30" t="s">
        <v>923</v>
      </c>
      <c r="BA30">
        <v>3</v>
      </c>
      <c r="BB30">
        <v>100</v>
      </c>
    </row>
    <row r="31" spans="1:54">
      <c r="A31" s="31" t="s">
        <v>924</v>
      </c>
      <c r="B31" s="23" t="s">
        <v>26</v>
      </c>
      <c r="C31" s="32" t="s">
        <v>17</v>
      </c>
      <c r="D31" s="8" t="s">
        <v>27</v>
      </c>
      <c r="E31" s="8" t="s">
        <v>28</v>
      </c>
      <c r="F31" s="19" t="s">
        <v>289</v>
      </c>
      <c r="G31" s="20" t="s">
        <v>21</v>
      </c>
      <c r="H31" s="21" t="s">
        <v>149</v>
      </c>
      <c r="I31" s="8" t="s">
        <v>271</v>
      </c>
      <c r="J31" s="8" t="s">
        <v>161</v>
      </c>
      <c r="K31" s="19" t="s">
        <v>383</v>
      </c>
      <c r="L31" s="28" t="s">
        <v>30</v>
      </c>
      <c r="M31" s="29" t="s">
        <v>120</v>
      </c>
      <c r="N31" s="30" t="s">
        <v>209</v>
      </c>
      <c r="O31" s="30" t="s">
        <v>137</v>
      </c>
      <c r="AH31" s="15" t="s">
        <v>628</v>
      </c>
      <c r="AI31" t="s">
        <v>21</v>
      </c>
      <c r="AJ31" s="12">
        <v>0.57</v>
      </c>
      <c r="AT31" t="s">
        <v>916</v>
      </c>
      <c r="AU31" t="s">
        <v>925</v>
      </c>
      <c r="AW31" t="s">
        <v>926</v>
      </c>
      <c r="AX31" t="s">
        <v>927</v>
      </c>
      <c r="AY31" t="s">
        <v>928</v>
      </c>
      <c r="AZ31" t="s">
        <v>929</v>
      </c>
      <c r="BA31" t="s">
        <v>754</v>
      </c>
      <c r="BB31" t="s">
        <v>755</v>
      </c>
    </row>
    <row r="32" spans="1:54">
      <c r="A32" s="26" t="s">
        <v>205</v>
      </c>
      <c r="B32" s="24" t="s">
        <v>16</v>
      </c>
      <c r="C32" s="45" t="s">
        <v>188</v>
      </c>
      <c r="D32" s="8" t="s">
        <v>206</v>
      </c>
      <c r="E32" s="8" t="s">
        <v>80</v>
      </c>
      <c r="F32" s="31" t="s">
        <v>930</v>
      </c>
      <c r="G32" s="20" t="s">
        <v>21</v>
      </c>
      <c r="H32" s="35" t="s">
        <v>22</v>
      </c>
      <c r="I32" s="8" t="s">
        <v>64</v>
      </c>
      <c r="J32" s="8" t="s">
        <v>931</v>
      </c>
      <c r="K32" s="19" t="s">
        <v>384</v>
      </c>
      <c r="L32" s="24" t="s">
        <v>16</v>
      </c>
      <c r="M32" s="37" t="s">
        <v>124</v>
      </c>
      <c r="N32" s="8" t="s">
        <v>168</v>
      </c>
      <c r="O32" s="8" t="s">
        <v>91</v>
      </c>
      <c r="Y32" s="11" t="s">
        <v>932</v>
      </c>
      <c r="Z32" t="s">
        <v>26</v>
      </c>
      <c r="AA32" s="12">
        <v>0.55</v>
      </c>
      <c r="AB32" s="13" t="s">
        <v>932</v>
      </c>
      <c r="AC32" t="s">
        <v>30</v>
      </c>
      <c r="AD32" s="12">
        <v>0.55</v>
      </c>
      <c r="AE32" s="14" t="s">
        <v>932</v>
      </c>
      <c r="AF32" t="s">
        <v>16</v>
      </c>
      <c r="AG32" s="12">
        <v>0.55</v>
      </c>
      <c r="AH32" s="15" t="s">
        <v>932</v>
      </c>
      <c r="AI32" t="s">
        <v>21</v>
      </c>
      <c r="AJ32" s="12">
        <v>0.55</v>
      </c>
      <c r="AT32" t="s">
        <v>922</v>
      </c>
      <c r="AU32" t="s">
        <v>933</v>
      </c>
      <c r="AW32" t="s">
        <v>751</v>
      </c>
      <c r="AX32" t="s">
        <v>934</v>
      </c>
      <c r="AY32" t="s">
        <v>935</v>
      </c>
      <c r="AZ32" t="s">
        <v>936</v>
      </c>
      <c r="BA32">
        <v>1200</v>
      </c>
      <c r="BB32">
        <v>600</v>
      </c>
    </row>
    <row r="33" spans="1:52">
      <c r="A33" t="s">
        <v>877</v>
      </c>
      <c r="F33" s="31" t="s">
        <v>937</v>
      </c>
      <c r="G33" s="23" t="s">
        <v>26</v>
      </c>
      <c r="H33" s="40" t="s">
        <v>43</v>
      </c>
      <c r="I33" s="8" t="s">
        <v>66</v>
      </c>
      <c r="J33" s="8" t="s">
        <v>67</v>
      </c>
      <c r="K33" s="22" t="s">
        <v>385</v>
      </c>
      <c r="L33" s="23" t="s">
        <v>26</v>
      </c>
      <c r="M33" s="10" t="s">
        <v>82</v>
      </c>
      <c r="N33" s="8" t="s">
        <v>215</v>
      </c>
      <c r="O33" s="8" t="s">
        <v>215</v>
      </c>
      <c r="X33" t="s">
        <v>938</v>
      </c>
      <c r="Y33"/>
      <c r="AH33" s="15" t="s">
        <v>939</v>
      </c>
      <c r="AI33" t="s">
        <v>21</v>
      </c>
      <c r="AJ33" s="12">
        <v>0.29</v>
      </c>
      <c r="AT33" t="s">
        <v>916</v>
      </c>
      <c r="AU33" t="s">
        <v>940</v>
      </c>
      <c r="AX33" t="s">
        <v>760</v>
      </c>
      <c r="AY33" t="s">
        <v>761</v>
      </c>
      <c r="AZ33" t="s">
        <v>762</v>
      </c>
    </row>
    <row r="34" spans="1:52">
      <c r="A34" s="19" t="s">
        <v>941</v>
      </c>
      <c r="B34" s="23" t="s">
        <v>26</v>
      </c>
      <c r="C34" s="25" t="s">
        <v>140</v>
      </c>
      <c r="D34" s="8" t="s">
        <v>141</v>
      </c>
      <c r="E34" s="8" t="s">
        <v>125</v>
      </c>
      <c r="F34" s="19" t="s">
        <v>290</v>
      </c>
      <c r="G34" s="24" t="s">
        <v>16</v>
      </c>
      <c r="H34" s="25" t="s">
        <v>140</v>
      </c>
      <c r="I34" s="8" t="s">
        <v>291</v>
      </c>
      <c r="J34" s="8" t="s">
        <v>292</v>
      </c>
      <c r="K34" s="19" t="s">
        <v>386</v>
      </c>
      <c r="L34" s="28" t="s">
        <v>30</v>
      </c>
      <c r="M34" s="37" t="s">
        <v>124</v>
      </c>
      <c r="N34" s="30" t="s">
        <v>387</v>
      </c>
      <c r="O34" s="30" t="s">
        <v>376</v>
      </c>
      <c r="X34" t="s">
        <v>942</v>
      </c>
      <c r="Y34" s="11" t="s">
        <v>631</v>
      </c>
      <c r="Z34" t="s">
        <v>26</v>
      </c>
      <c r="AA34" s="12">
        <v>0.45</v>
      </c>
      <c r="AB34" s="13" t="s">
        <v>631</v>
      </c>
      <c r="AC34" t="s">
        <v>30</v>
      </c>
      <c r="AD34" s="12">
        <v>0.45</v>
      </c>
      <c r="AE34" s="14" t="s">
        <v>631</v>
      </c>
      <c r="AF34" t="s">
        <v>16</v>
      </c>
      <c r="AG34" s="12">
        <v>0.45</v>
      </c>
      <c r="AH34" s="15" t="s">
        <v>631</v>
      </c>
      <c r="AI34" t="s">
        <v>21</v>
      </c>
      <c r="AJ34" s="12">
        <v>0.45</v>
      </c>
      <c r="AT34" t="s">
        <v>922</v>
      </c>
      <c r="AU34" t="s">
        <v>943</v>
      </c>
      <c r="AX34">
        <v>200</v>
      </c>
      <c r="AY34">
        <v>3</v>
      </c>
      <c r="AZ34">
        <v>5</v>
      </c>
    </row>
    <row r="35" spans="1:52">
      <c r="A35" s="19" t="s">
        <v>944</v>
      </c>
      <c r="B35" s="28" t="s">
        <v>30</v>
      </c>
      <c r="C35" s="29" t="s">
        <v>120</v>
      </c>
      <c r="D35" s="30" t="s">
        <v>209</v>
      </c>
      <c r="E35" s="30" t="s">
        <v>210</v>
      </c>
      <c r="F35" t="s">
        <v>904</v>
      </c>
      <c r="H35" s="7"/>
      <c r="I35" s="8"/>
      <c r="J35" s="8"/>
      <c r="K35" s="19" t="s">
        <v>388</v>
      </c>
      <c r="L35" s="28" t="s">
        <v>30</v>
      </c>
      <c r="M35" s="37" t="s">
        <v>124</v>
      </c>
      <c r="N35" s="30" t="s">
        <v>389</v>
      </c>
      <c r="O35" s="30" t="s">
        <v>132</v>
      </c>
      <c r="X35" t="s">
        <v>945</v>
      </c>
      <c r="Y35" s="11" t="s">
        <v>632</v>
      </c>
      <c r="Z35" t="s">
        <v>26</v>
      </c>
      <c r="AA35" s="12">
        <v>0.35</v>
      </c>
      <c r="AB35" s="13" t="s">
        <v>632</v>
      </c>
      <c r="AC35" t="s">
        <v>30</v>
      </c>
      <c r="AD35" s="12">
        <v>0.35</v>
      </c>
      <c r="AE35" s="14" t="s">
        <v>632</v>
      </c>
      <c r="AF35" t="s">
        <v>16</v>
      </c>
      <c r="AG35" s="12">
        <v>0.35</v>
      </c>
      <c r="AH35" s="15" t="s">
        <v>632</v>
      </c>
      <c r="AI35" t="s">
        <v>21</v>
      </c>
      <c r="AJ35" s="12">
        <v>0.35</v>
      </c>
    </row>
    <row r="36" spans="1:52">
      <c r="A36" s="22" t="s">
        <v>213</v>
      </c>
      <c r="B36" s="23" t="s">
        <v>26</v>
      </c>
      <c r="C36" s="10" t="s">
        <v>82</v>
      </c>
      <c r="D36" s="8" t="s">
        <v>214</v>
      </c>
      <c r="E36" s="8" t="s">
        <v>215</v>
      </c>
      <c r="F36" s="31" t="s">
        <v>946</v>
      </c>
      <c r="G36" s="20" t="s">
        <v>21</v>
      </c>
      <c r="H36" s="32" t="s">
        <v>17</v>
      </c>
      <c r="I36" s="8" t="s">
        <v>69</v>
      </c>
      <c r="J36" s="8" t="s">
        <v>70</v>
      </c>
      <c r="K36" s="19" t="s">
        <v>390</v>
      </c>
      <c r="L36" s="23" t="s">
        <v>26</v>
      </c>
      <c r="M36" s="37" t="s">
        <v>124</v>
      </c>
      <c r="N36" s="8" t="s">
        <v>284</v>
      </c>
      <c r="O36" s="8" t="s">
        <v>142</v>
      </c>
      <c r="Y36" s="11" t="s">
        <v>633</v>
      </c>
      <c r="Z36" t="s">
        <v>26</v>
      </c>
      <c r="AA36" s="12">
        <v>0.17</v>
      </c>
      <c r="AB36" s="13" t="s">
        <v>633</v>
      </c>
      <c r="AC36" t="s">
        <v>30</v>
      </c>
      <c r="AD36" s="12">
        <v>0.17</v>
      </c>
      <c r="AE36" s="14" t="s">
        <v>633</v>
      </c>
      <c r="AF36" t="s">
        <v>16</v>
      </c>
      <c r="AG36" s="12">
        <v>0.17</v>
      </c>
      <c r="AH36" s="15" t="s">
        <v>633</v>
      </c>
      <c r="AI36" t="s">
        <v>21</v>
      </c>
      <c r="AJ36" s="12">
        <v>0.17</v>
      </c>
    </row>
    <row r="37" spans="1:52">
      <c r="A37" t="s">
        <v>880</v>
      </c>
      <c r="F37" s="19" t="s">
        <v>293</v>
      </c>
      <c r="G37" s="20" t="s">
        <v>21</v>
      </c>
      <c r="H37" s="21" t="s">
        <v>149</v>
      </c>
      <c r="I37" s="8" t="s">
        <v>294</v>
      </c>
      <c r="J37" s="8" t="s">
        <v>230</v>
      </c>
      <c r="K37" s="19" t="s">
        <v>391</v>
      </c>
      <c r="L37" s="24" t="s">
        <v>16</v>
      </c>
      <c r="M37" s="29" t="s">
        <v>120</v>
      </c>
      <c r="N37" s="8" t="s">
        <v>171</v>
      </c>
      <c r="O37" s="8" t="s">
        <v>141</v>
      </c>
      <c r="X37" t="s">
        <v>836</v>
      </c>
      <c r="Y37" s="11" t="s">
        <v>634</v>
      </c>
      <c r="Z37" t="s">
        <v>26</v>
      </c>
      <c r="AA37" s="12">
        <v>0.39</v>
      </c>
      <c r="AB37" s="13" t="s">
        <v>634</v>
      </c>
      <c r="AC37" t="s">
        <v>30</v>
      </c>
      <c r="AD37" s="12">
        <v>0.39</v>
      </c>
      <c r="AE37" s="14" t="s">
        <v>634</v>
      </c>
      <c r="AF37" t="s">
        <v>16</v>
      </c>
      <c r="AG37" s="12">
        <v>0.39</v>
      </c>
      <c r="AH37" s="15" t="s">
        <v>634</v>
      </c>
      <c r="AI37" t="s">
        <v>21</v>
      </c>
      <c r="AJ37" s="12">
        <v>0.39</v>
      </c>
    </row>
    <row r="38" spans="1:52">
      <c r="A38" s="19" t="s">
        <v>219</v>
      </c>
      <c r="B38" s="23" t="s">
        <v>26</v>
      </c>
      <c r="C38" s="37" t="s">
        <v>124</v>
      </c>
      <c r="D38" s="8" t="s">
        <v>220</v>
      </c>
      <c r="E38" s="8" t="s">
        <v>221</v>
      </c>
      <c r="F38" s="19" t="s">
        <v>295</v>
      </c>
      <c r="G38" s="24" t="s">
        <v>16</v>
      </c>
      <c r="H38" s="25" t="s">
        <v>140</v>
      </c>
      <c r="I38" s="8" t="s">
        <v>147</v>
      </c>
      <c r="J38" s="8" t="s">
        <v>47</v>
      </c>
      <c r="K38" s="19" t="s">
        <v>392</v>
      </c>
      <c r="L38" s="28" t="s">
        <v>30</v>
      </c>
      <c r="M38" s="37" t="s">
        <v>124</v>
      </c>
      <c r="N38" s="30" t="s">
        <v>284</v>
      </c>
      <c r="O38" s="30" t="s">
        <v>90</v>
      </c>
      <c r="Y38" s="11" t="s">
        <v>635</v>
      </c>
      <c r="Z38" t="s">
        <v>26</v>
      </c>
      <c r="AA38" s="12">
        <v>0.23</v>
      </c>
      <c r="AB38" s="13" t="s">
        <v>635</v>
      </c>
      <c r="AC38" t="s">
        <v>30</v>
      </c>
      <c r="AD38" s="12">
        <v>0.23</v>
      </c>
      <c r="AE38" s="14" t="s">
        <v>635</v>
      </c>
      <c r="AF38" t="s">
        <v>16</v>
      </c>
      <c r="AG38" s="12">
        <v>0.23</v>
      </c>
      <c r="AH38" s="15" t="s">
        <v>635</v>
      </c>
      <c r="AI38" t="s">
        <v>21</v>
      </c>
      <c r="AJ38" s="12">
        <v>0.23</v>
      </c>
    </row>
    <row r="39" spans="1:52">
      <c r="A39" s="33" t="s">
        <v>216</v>
      </c>
      <c r="B39" s="28" t="s">
        <v>30</v>
      </c>
      <c r="C39" s="10" t="s">
        <v>82</v>
      </c>
      <c r="D39" s="8" t="s">
        <v>217</v>
      </c>
      <c r="E39" s="8" t="s">
        <v>218</v>
      </c>
      <c r="F39" s="31" t="s">
        <v>947</v>
      </c>
      <c r="G39" s="28" t="s">
        <v>30</v>
      </c>
      <c r="H39" s="39" t="s">
        <v>31</v>
      </c>
      <c r="I39" s="30" t="s">
        <v>304</v>
      </c>
      <c r="J39" s="30" t="s">
        <v>50</v>
      </c>
      <c r="K39" s="19" t="s">
        <v>393</v>
      </c>
      <c r="L39" s="28" t="s">
        <v>30</v>
      </c>
      <c r="M39" s="21" t="s">
        <v>149</v>
      </c>
      <c r="N39" s="30" t="s">
        <v>249</v>
      </c>
      <c r="O39" s="30" t="s">
        <v>204</v>
      </c>
      <c r="Y39" s="11" t="s">
        <v>636</v>
      </c>
      <c r="Z39" t="s">
        <v>26</v>
      </c>
      <c r="AA39" s="12">
        <v>0.15</v>
      </c>
      <c r="AB39" s="13" t="s">
        <v>636</v>
      </c>
      <c r="AC39" t="s">
        <v>30</v>
      </c>
      <c r="AD39" s="12">
        <v>0.15</v>
      </c>
      <c r="AE39" s="14" t="s">
        <v>636</v>
      </c>
      <c r="AF39" t="s">
        <v>16</v>
      </c>
      <c r="AG39" s="12">
        <v>0.15</v>
      </c>
      <c r="AH39" s="15" t="s">
        <v>636</v>
      </c>
      <c r="AI39" t="s">
        <v>21</v>
      </c>
      <c r="AJ39" s="12">
        <v>0.15</v>
      </c>
    </row>
    <row r="40" spans="1:52">
      <c r="A40" s="31" t="s">
        <v>948</v>
      </c>
      <c r="B40" s="28" t="s">
        <v>30</v>
      </c>
      <c r="C40" s="39" t="s">
        <v>31</v>
      </c>
      <c r="D40" s="30" t="s">
        <v>32</v>
      </c>
      <c r="E40" s="30" t="s">
        <v>33</v>
      </c>
      <c r="F40" s="33" t="s">
        <v>309</v>
      </c>
      <c r="G40" s="28" t="s">
        <v>30</v>
      </c>
      <c r="H40" s="10" t="s">
        <v>82</v>
      </c>
      <c r="I40" s="30" t="s">
        <v>310</v>
      </c>
      <c r="J40" s="30" t="s">
        <v>311</v>
      </c>
      <c r="K40" s="19" t="s">
        <v>394</v>
      </c>
      <c r="L40" s="23" t="s">
        <v>26</v>
      </c>
      <c r="M40" s="25" t="s">
        <v>140</v>
      </c>
      <c r="N40" s="8" t="s">
        <v>395</v>
      </c>
      <c r="O40" s="8" t="s">
        <v>396</v>
      </c>
      <c r="Y40" s="11" t="s">
        <v>637</v>
      </c>
      <c r="Z40" t="s">
        <v>26</v>
      </c>
      <c r="AA40" s="12">
        <v>0.45</v>
      </c>
      <c r="AB40" s="13" t="s">
        <v>637</v>
      </c>
      <c r="AC40" t="s">
        <v>30</v>
      </c>
      <c r="AD40" s="12">
        <v>0.45</v>
      </c>
      <c r="AE40" s="14" t="s">
        <v>637</v>
      </c>
      <c r="AF40" t="s">
        <v>16</v>
      </c>
      <c r="AG40" s="12">
        <v>0.45</v>
      </c>
      <c r="AH40" s="15" t="s">
        <v>637</v>
      </c>
      <c r="AI40" t="s">
        <v>21</v>
      </c>
      <c r="AJ40" s="12">
        <v>0.45</v>
      </c>
    </row>
    <row r="41" spans="1:52">
      <c r="A41" s="22" t="s">
        <v>222</v>
      </c>
      <c r="B41" s="23" t="s">
        <v>26</v>
      </c>
      <c r="C41" s="10" t="s">
        <v>82</v>
      </c>
      <c r="D41" s="8" t="s">
        <v>223</v>
      </c>
      <c r="E41" s="8" t="s">
        <v>215</v>
      </c>
      <c r="F41" s="19" t="s">
        <v>312</v>
      </c>
      <c r="G41" s="23" t="s">
        <v>26</v>
      </c>
      <c r="H41" s="29" t="s">
        <v>120</v>
      </c>
      <c r="I41" s="8" t="s">
        <v>313</v>
      </c>
      <c r="J41" s="8" t="s">
        <v>182</v>
      </c>
      <c r="K41" s="19" t="s">
        <v>397</v>
      </c>
      <c r="L41" s="28" t="s">
        <v>30</v>
      </c>
      <c r="M41" s="21" t="s">
        <v>149</v>
      </c>
      <c r="N41" s="30" t="s">
        <v>398</v>
      </c>
      <c r="O41" s="30" t="s">
        <v>144</v>
      </c>
      <c r="Y41" s="11" t="s">
        <v>638</v>
      </c>
      <c r="Z41" t="s">
        <v>26</v>
      </c>
      <c r="AA41" s="12">
        <v>0.35</v>
      </c>
      <c r="AB41" s="13" t="s">
        <v>638</v>
      </c>
      <c r="AC41" t="s">
        <v>30</v>
      </c>
      <c r="AD41" s="12">
        <v>0.35</v>
      </c>
      <c r="AE41" s="14" t="s">
        <v>638</v>
      </c>
      <c r="AF41" t="s">
        <v>16</v>
      </c>
      <c r="AG41" s="12">
        <v>0.35</v>
      </c>
      <c r="AH41" s="15" t="s">
        <v>638</v>
      </c>
      <c r="AI41" t="s">
        <v>21</v>
      </c>
      <c r="AJ41" s="12">
        <v>0.35</v>
      </c>
    </row>
    <row r="42" spans="1:52">
      <c r="A42" s="19" t="s">
        <v>127</v>
      </c>
      <c r="B42" s="23" t="s">
        <v>26</v>
      </c>
      <c r="C42" s="29" t="s">
        <v>120</v>
      </c>
      <c r="D42" s="8" t="s">
        <v>128</v>
      </c>
      <c r="E42" s="8" t="s">
        <v>129</v>
      </c>
      <c r="F42" s="19" t="s">
        <v>314</v>
      </c>
      <c r="G42" s="28" t="s">
        <v>30</v>
      </c>
      <c r="H42" s="21" t="s">
        <v>149</v>
      </c>
      <c r="I42" s="30" t="s">
        <v>163</v>
      </c>
      <c r="J42" s="30" t="s">
        <v>137</v>
      </c>
      <c r="K42" t="s">
        <v>949</v>
      </c>
      <c r="M42" s="7"/>
      <c r="N42" s="8"/>
      <c r="O42" s="8"/>
      <c r="X42" t="s">
        <v>900</v>
      </c>
      <c r="Y42" s="11" t="s">
        <v>639</v>
      </c>
      <c r="Z42" t="s">
        <v>26</v>
      </c>
      <c r="AA42" s="12">
        <v>0.47</v>
      </c>
      <c r="AB42" s="13" t="s">
        <v>639</v>
      </c>
      <c r="AC42" t="s">
        <v>30</v>
      </c>
      <c r="AD42" s="12">
        <v>0.47</v>
      </c>
      <c r="AE42" s="14" t="s">
        <v>639</v>
      </c>
      <c r="AF42" t="s">
        <v>16</v>
      </c>
      <c r="AG42" s="12">
        <v>0.47</v>
      </c>
      <c r="AH42" s="15" t="s">
        <v>639</v>
      </c>
      <c r="AI42" t="s">
        <v>21</v>
      </c>
      <c r="AJ42" s="12">
        <v>0.47</v>
      </c>
    </row>
    <row r="43" spans="1:52">
      <c r="A43" s="33" t="s">
        <v>224</v>
      </c>
      <c r="B43" s="20" t="s">
        <v>21</v>
      </c>
      <c r="C43" s="10" t="s">
        <v>82</v>
      </c>
      <c r="D43" s="8" t="s">
        <v>225</v>
      </c>
      <c r="E43" s="8" t="s">
        <v>166</v>
      </c>
      <c r="F43" s="19" t="s">
        <v>315</v>
      </c>
      <c r="G43" s="24" t="s">
        <v>16</v>
      </c>
      <c r="H43" s="21" t="s">
        <v>149</v>
      </c>
      <c r="I43" s="8" t="s">
        <v>316</v>
      </c>
      <c r="J43" s="8" t="s">
        <v>168</v>
      </c>
      <c r="K43" s="19" t="s">
        <v>399</v>
      </c>
      <c r="L43" s="20" t="s">
        <v>21</v>
      </c>
      <c r="M43" s="37" t="s">
        <v>124</v>
      </c>
      <c r="N43" s="8" t="s">
        <v>400</v>
      </c>
      <c r="O43" s="8" t="s">
        <v>142</v>
      </c>
      <c r="Y43" s="11" t="s">
        <v>950</v>
      </c>
      <c r="Z43" t="s">
        <v>26</v>
      </c>
      <c r="AA43" s="12">
        <v>0.29</v>
      </c>
      <c r="AB43" s="13" t="s">
        <v>641</v>
      </c>
      <c r="AC43" t="s">
        <v>30</v>
      </c>
      <c r="AD43" s="12">
        <v>0.19</v>
      </c>
      <c r="AE43" s="14" t="s">
        <v>641</v>
      </c>
      <c r="AF43" t="s">
        <v>16</v>
      </c>
      <c r="AG43" s="12">
        <v>0.19</v>
      </c>
      <c r="AH43" s="15" t="s">
        <v>950</v>
      </c>
      <c r="AI43" t="s">
        <v>21</v>
      </c>
      <c r="AJ43" s="12">
        <v>0.51</v>
      </c>
    </row>
    <row r="44" spans="1:52">
      <c r="A44" s="31" t="s">
        <v>951</v>
      </c>
      <c r="B44" s="20" t="s">
        <v>21</v>
      </c>
      <c r="C44" s="32" t="s">
        <v>17</v>
      </c>
      <c r="D44" s="8" t="s">
        <v>952</v>
      </c>
      <c r="E44" s="8" t="s">
        <v>36</v>
      </c>
      <c r="F44" s="19" t="s">
        <v>317</v>
      </c>
      <c r="G44" s="24" t="s">
        <v>16</v>
      </c>
      <c r="H44" s="29" t="s">
        <v>120</v>
      </c>
      <c r="I44" s="8" t="s">
        <v>318</v>
      </c>
      <c r="J44" s="8" t="s">
        <v>64</v>
      </c>
      <c r="K44" s="31" t="s">
        <v>953</v>
      </c>
      <c r="L44" s="23" t="s">
        <v>26</v>
      </c>
      <c r="M44" s="35" t="s">
        <v>22</v>
      </c>
      <c r="N44" s="8" t="s">
        <v>86</v>
      </c>
      <c r="O44" s="8" t="s">
        <v>87</v>
      </c>
      <c r="Y44" s="11" t="s">
        <v>641</v>
      </c>
      <c r="Z44" t="s">
        <v>26</v>
      </c>
      <c r="AA44" s="12">
        <v>0.19</v>
      </c>
      <c r="AH44" s="15" t="s">
        <v>641</v>
      </c>
      <c r="AI44" t="s">
        <v>21</v>
      </c>
      <c r="AJ44" s="12">
        <v>0.19</v>
      </c>
    </row>
    <row r="45" spans="1:52">
      <c r="A45" s="31" t="s">
        <v>954</v>
      </c>
      <c r="B45" s="24" t="s">
        <v>16</v>
      </c>
      <c r="C45" s="35" t="s">
        <v>22</v>
      </c>
      <c r="D45" s="8" t="s">
        <v>955</v>
      </c>
      <c r="E45" s="8" t="s">
        <v>956</v>
      </c>
      <c r="F45" t="s">
        <v>920</v>
      </c>
      <c r="H45" s="7"/>
      <c r="I45" s="8"/>
      <c r="J45" s="8"/>
      <c r="K45" s="33" t="s">
        <v>401</v>
      </c>
      <c r="L45" s="23" t="s">
        <v>21</v>
      </c>
      <c r="M45" s="10" t="s">
        <v>82</v>
      </c>
      <c r="N45" s="8" t="s">
        <v>364</v>
      </c>
      <c r="O45" s="8" t="s">
        <v>310</v>
      </c>
      <c r="X45" t="s">
        <v>913</v>
      </c>
      <c r="Y45" s="44" t="s">
        <v>515</v>
      </c>
      <c r="Z45" t="s">
        <v>26</v>
      </c>
      <c r="AA45" s="12">
        <v>0.59</v>
      </c>
      <c r="AB45" s="41" t="s">
        <v>555</v>
      </c>
      <c r="AC45" t="s">
        <v>30</v>
      </c>
      <c r="AD45" s="12">
        <v>0.59</v>
      </c>
      <c r="AE45" s="26" t="s">
        <v>596</v>
      </c>
      <c r="AF45" t="s">
        <v>16</v>
      </c>
      <c r="AG45" s="12">
        <v>0.59</v>
      </c>
      <c r="AH45" s="38" t="s">
        <v>957</v>
      </c>
      <c r="AI45" t="s">
        <v>21</v>
      </c>
      <c r="AJ45" s="12">
        <v>0.59</v>
      </c>
    </row>
    <row r="46" spans="1:52">
      <c r="A46" s="26" t="s">
        <v>226</v>
      </c>
      <c r="B46" s="20" t="s">
        <v>21</v>
      </c>
      <c r="C46" s="45" t="s">
        <v>188</v>
      </c>
      <c r="D46" s="8" t="s">
        <v>227</v>
      </c>
      <c r="E46" s="8" t="s">
        <v>90</v>
      </c>
      <c r="F46" s="19" t="s">
        <v>319</v>
      </c>
      <c r="G46" s="23" t="s">
        <v>26</v>
      </c>
      <c r="H46" s="25" t="s">
        <v>140</v>
      </c>
      <c r="I46" s="8" t="s">
        <v>141</v>
      </c>
      <c r="J46" s="8" t="s">
        <v>320</v>
      </c>
      <c r="K46" s="19" t="s">
        <v>402</v>
      </c>
      <c r="L46" s="20" t="s">
        <v>21</v>
      </c>
      <c r="M46" s="37" t="s">
        <v>124</v>
      </c>
      <c r="N46" s="8" t="s">
        <v>403</v>
      </c>
      <c r="O46" s="8" t="s">
        <v>252</v>
      </c>
      <c r="X46" s="8" t="s">
        <v>949</v>
      </c>
      <c r="Y46"/>
      <c r="AB46" s="41" t="s">
        <v>556</v>
      </c>
      <c r="AC46" t="s">
        <v>30</v>
      </c>
      <c r="AD46" s="12">
        <v>0.55</v>
      </c>
    </row>
    <row r="47" spans="1:52">
      <c r="A47" t="s">
        <v>886</v>
      </c>
      <c r="F47" s="19" t="s">
        <v>321</v>
      </c>
      <c r="G47" s="23" t="s">
        <v>26</v>
      </c>
      <c r="H47" s="25" t="s">
        <v>140</v>
      </c>
      <c r="I47" s="8" t="s">
        <v>322</v>
      </c>
      <c r="J47" s="8" t="s">
        <v>323</v>
      </c>
      <c r="K47" s="19" t="s">
        <v>404</v>
      </c>
      <c r="L47" s="20" t="s">
        <v>21</v>
      </c>
      <c r="M47" s="21" t="s">
        <v>149</v>
      </c>
      <c r="N47" s="8" t="s">
        <v>252</v>
      </c>
      <c r="O47" s="8" t="s">
        <v>126</v>
      </c>
      <c r="X47" s="8" t="s">
        <v>958</v>
      </c>
      <c r="Y47" s="11" t="s">
        <v>643</v>
      </c>
      <c r="Z47" t="s">
        <v>26</v>
      </c>
      <c r="AA47" s="12">
        <v>0.41</v>
      </c>
      <c r="AB47" s="13" t="s">
        <v>643</v>
      </c>
      <c r="AC47" t="s">
        <v>30</v>
      </c>
      <c r="AD47" s="12">
        <v>0.41</v>
      </c>
      <c r="AE47" s="14" t="s">
        <v>643</v>
      </c>
      <c r="AF47" t="s">
        <v>16</v>
      </c>
      <c r="AG47" s="12">
        <v>0.41</v>
      </c>
      <c r="AH47" s="15" t="s">
        <v>643</v>
      </c>
      <c r="AI47" t="s">
        <v>21</v>
      </c>
      <c r="AJ47" s="12">
        <v>0.41</v>
      </c>
    </row>
    <row r="48" spans="1:52">
      <c r="A48" s="19" t="s">
        <v>228</v>
      </c>
      <c r="B48" s="28" t="s">
        <v>30</v>
      </c>
      <c r="C48" s="37" t="s">
        <v>124</v>
      </c>
      <c r="D48" s="30" t="s">
        <v>144</v>
      </c>
      <c r="E48" s="30" t="s">
        <v>90</v>
      </c>
      <c r="F48" t="s">
        <v>942</v>
      </c>
      <c r="H48" s="7"/>
      <c r="I48" s="8"/>
      <c r="J48" s="8"/>
      <c r="K48" s="19" t="s">
        <v>405</v>
      </c>
      <c r="L48" s="28" t="s">
        <v>30</v>
      </c>
      <c r="M48" s="25" t="s">
        <v>140</v>
      </c>
      <c r="N48" s="30" t="s">
        <v>406</v>
      </c>
      <c r="O48" s="30" t="s">
        <v>407</v>
      </c>
      <c r="Y48" s="11" t="s">
        <v>644</v>
      </c>
      <c r="Z48" t="s">
        <v>26</v>
      </c>
      <c r="AA48" s="12">
        <v>0.31</v>
      </c>
      <c r="AB48" s="13" t="s">
        <v>644</v>
      </c>
      <c r="AC48" t="s">
        <v>30</v>
      </c>
      <c r="AD48" s="12">
        <v>0.31</v>
      </c>
      <c r="AE48" s="14" t="s">
        <v>644</v>
      </c>
      <c r="AF48" t="s">
        <v>16</v>
      </c>
      <c r="AG48" s="12">
        <v>0.31</v>
      </c>
      <c r="AH48" s="15" t="s">
        <v>644</v>
      </c>
      <c r="AI48" t="s">
        <v>21</v>
      </c>
      <c r="AJ48" s="12">
        <v>0.31</v>
      </c>
    </row>
    <row r="49" spans="1:36">
      <c r="A49" s="19" t="s">
        <v>229</v>
      </c>
      <c r="B49" s="20" t="s">
        <v>21</v>
      </c>
      <c r="C49" s="29" t="s">
        <v>120</v>
      </c>
      <c r="D49" s="8" t="s">
        <v>134</v>
      </c>
      <c r="E49" s="8" t="s">
        <v>230</v>
      </c>
      <c r="F49" s="19" t="s">
        <v>324</v>
      </c>
      <c r="G49" s="23" t="s">
        <v>26</v>
      </c>
      <c r="H49" s="21" t="s">
        <v>149</v>
      </c>
      <c r="I49" s="8" t="s">
        <v>159</v>
      </c>
      <c r="J49" s="8" t="s">
        <v>182</v>
      </c>
      <c r="K49" s="19" t="s">
        <v>408</v>
      </c>
      <c r="L49" s="20" t="s">
        <v>21</v>
      </c>
      <c r="M49" s="37" t="s">
        <v>124</v>
      </c>
      <c r="N49" s="8" t="s">
        <v>409</v>
      </c>
      <c r="O49" s="8" t="s">
        <v>342</v>
      </c>
      <c r="X49" s="8" t="s">
        <v>829</v>
      </c>
      <c r="Y49" s="44" t="s">
        <v>519</v>
      </c>
      <c r="Z49" t="s">
        <v>26</v>
      </c>
      <c r="AA49" s="12">
        <v>0.45</v>
      </c>
      <c r="AB49" s="13" t="s">
        <v>959</v>
      </c>
      <c r="AC49" t="s">
        <v>30</v>
      </c>
      <c r="AD49" s="12">
        <v>0.45</v>
      </c>
      <c r="AE49" s="46" t="s">
        <v>599</v>
      </c>
      <c r="AF49" t="s">
        <v>16</v>
      </c>
      <c r="AG49" s="12">
        <v>0.45</v>
      </c>
      <c r="AH49" s="15" t="s">
        <v>645</v>
      </c>
      <c r="AI49" t="s">
        <v>21</v>
      </c>
      <c r="AJ49" s="12">
        <v>0.45</v>
      </c>
    </row>
    <row r="50" spans="1:36">
      <c r="A50" s="22" t="s">
        <v>231</v>
      </c>
      <c r="B50" s="23" t="s">
        <v>26</v>
      </c>
      <c r="C50" s="10" t="s">
        <v>82</v>
      </c>
      <c r="D50" s="8" t="s">
        <v>232</v>
      </c>
      <c r="E50" s="8" t="s">
        <v>215</v>
      </c>
      <c r="F50" s="34" t="s">
        <v>326</v>
      </c>
      <c r="G50" s="24" t="s">
        <v>16</v>
      </c>
      <c r="H50" s="10" t="s">
        <v>82</v>
      </c>
      <c r="I50" s="8" t="s">
        <v>174</v>
      </c>
      <c r="J50" s="8" t="s">
        <v>169</v>
      </c>
      <c r="K50" s="19" t="s">
        <v>410</v>
      </c>
      <c r="L50" s="28" t="s">
        <v>30</v>
      </c>
      <c r="M50" s="29" t="s">
        <v>120</v>
      </c>
      <c r="N50" s="30" t="s">
        <v>411</v>
      </c>
      <c r="O50" s="30" t="s">
        <v>158</v>
      </c>
      <c r="X50" s="8"/>
      <c r="Y50" s="11" t="s">
        <v>600</v>
      </c>
      <c r="Z50" t="s">
        <v>26</v>
      </c>
      <c r="AA50" s="12">
        <v>0.43</v>
      </c>
      <c r="AB50" s="13" t="s">
        <v>600</v>
      </c>
      <c r="AC50" t="s">
        <v>30</v>
      </c>
      <c r="AD50" s="12">
        <v>0.43</v>
      </c>
      <c r="AE50" s="14" t="s">
        <v>600</v>
      </c>
      <c r="AF50" t="s">
        <v>16</v>
      </c>
      <c r="AG50" s="12">
        <v>0.43</v>
      </c>
    </row>
    <row r="51" spans="1:36">
      <c r="A51" s="19" t="s">
        <v>233</v>
      </c>
      <c r="B51" s="24" t="s">
        <v>16</v>
      </c>
      <c r="C51" s="21" t="s">
        <v>149</v>
      </c>
      <c r="D51" s="8" t="s">
        <v>234</v>
      </c>
      <c r="E51" s="8" t="s">
        <v>163</v>
      </c>
      <c r="F51" s="19" t="s">
        <v>327</v>
      </c>
      <c r="G51" s="20" t="s">
        <v>21</v>
      </c>
      <c r="H51" s="29" t="s">
        <v>120</v>
      </c>
      <c r="I51" s="8" t="s">
        <v>236</v>
      </c>
      <c r="J51" s="8" t="s">
        <v>252</v>
      </c>
      <c r="K51" s="34" t="s">
        <v>412</v>
      </c>
      <c r="L51" s="23" t="s">
        <v>26</v>
      </c>
      <c r="M51" s="10" t="s">
        <v>82</v>
      </c>
      <c r="N51" s="8" t="s">
        <v>129</v>
      </c>
      <c r="O51" s="8" t="s">
        <v>196</v>
      </c>
      <c r="Y51" s="9" t="s">
        <v>960</v>
      </c>
      <c r="AA51" s="2">
        <f>SUM(AA2:AA50)</f>
        <v>15.89</v>
      </c>
      <c r="AB51" s="47" t="s">
        <v>961</v>
      </c>
      <c r="AD51" s="2">
        <f>SUM(AD2:AD50)</f>
        <v>14.34</v>
      </c>
      <c r="AE51" t="s">
        <v>962</v>
      </c>
      <c r="AG51" s="2">
        <f>SUM(AG2:AG50)</f>
        <v>14.24</v>
      </c>
      <c r="AH51" s="48" t="s">
        <v>963</v>
      </c>
      <c r="AJ51" s="2">
        <f>SUM(AJ2:AJ50)</f>
        <v>16.3</v>
      </c>
    </row>
    <row r="52" spans="1:36">
      <c r="A52" s="19" t="s">
        <v>235</v>
      </c>
      <c r="B52" s="20" t="s">
        <v>21</v>
      </c>
      <c r="C52" s="29" t="s">
        <v>120</v>
      </c>
      <c r="D52" s="8" t="s">
        <v>236</v>
      </c>
      <c r="E52" s="8" t="s">
        <v>126</v>
      </c>
      <c r="F52" t="s">
        <v>945</v>
      </c>
      <c r="H52" s="7"/>
      <c r="I52" s="8"/>
      <c r="J52" s="8"/>
      <c r="K52" t="s">
        <v>958</v>
      </c>
      <c r="M52" s="7"/>
      <c r="N52" s="8"/>
      <c r="O52" s="8"/>
    </row>
    <row r="53" spans="1:36">
      <c r="A53" s="31" t="s">
        <v>964</v>
      </c>
      <c r="B53" s="28" t="s">
        <v>30</v>
      </c>
      <c r="C53" s="35" t="s">
        <v>22</v>
      </c>
      <c r="D53" s="30" t="s">
        <v>40</v>
      </c>
      <c r="E53" s="30" t="s">
        <v>41</v>
      </c>
      <c r="F53" s="31" t="s">
        <v>965</v>
      </c>
      <c r="G53" s="24" t="s">
        <v>16</v>
      </c>
      <c r="H53" s="35" t="s">
        <v>22</v>
      </c>
      <c r="I53" s="8" t="s">
        <v>18</v>
      </c>
      <c r="J53" s="8" t="s">
        <v>47</v>
      </c>
      <c r="K53" s="19" t="s">
        <v>413</v>
      </c>
      <c r="L53" s="23" t="s">
        <v>26</v>
      </c>
      <c r="M53" s="25" t="s">
        <v>140</v>
      </c>
      <c r="N53" s="8" t="s">
        <v>414</v>
      </c>
      <c r="O53" s="8" t="s">
        <v>172</v>
      </c>
    </row>
    <row r="54" spans="1:36">
      <c r="A54" s="31" t="s">
        <v>966</v>
      </c>
      <c r="B54" s="20" t="s">
        <v>21</v>
      </c>
      <c r="C54" s="40" t="s">
        <v>43</v>
      </c>
      <c r="D54" s="8" t="s">
        <v>44</v>
      </c>
      <c r="E54" s="8" t="s">
        <v>45</v>
      </c>
      <c r="F54" s="19" t="s">
        <v>329</v>
      </c>
      <c r="G54" s="23" t="s">
        <v>26</v>
      </c>
      <c r="H54" s="21" t="s">
        <v>149</v>
      </c>
      <c r="I54" s="8" t="s">
        <v>182</v>
      </c>
      <c r="J54" s="8" t="s">
        <v>262</v>
      </c>
      <c r="K54" s="19" t="s">
        <v>415</v>
      </c>
      <c r="L54" s="20" t="s">
        <v>21</v>
      </c>
      <c r="M54" s="21" t="s">
        <v>149</v>
      </c>
      <c r="N54" s="8" t="s">
        <v>126</v>
      </c>
      <c r="O54" s="8" t="s">
        <v>230</v>
      </c>
    </row>
    <row r="55" spans="1:36">
      <c r="A55" s="19" t="s">
        <v>237</v>
      </c>
      <c r="B55" s="20" t="s">
        <v>21</v>
      </c>
      <c r="C55" s="37" t="s">
        <v>124</v>
      </c>
      <c r="D55" s="8" t="s">
        <v>238</v>
      </c>
      <c r="E55" s="8" t="s">
        <v>239</v>
      </c>
      <c r="F55" s="19" t="s">
        <v>330</v>
      </c>
      <c r="G55" s="23" t="s">
        <v>26</v>
      </c>
      <c r="H55" s="21" t="s">
        <v>149</v>
      </c>
      <c r="I55" s="8" t="s">
        <v>331</v>
      </c>
      <c r="J55" s="8" t="s">
        <v>182</v>
      </c>
      <c r="K55" s="19" t="s">
        <v>416</v>
      </c>
      <c r="L55" s="28" t="s">
        <v>30</v>
      </c>
      <c r="M55" s="21" t="s">
        <v>149</v>
      </c>
      <c r="N55" s="30" t="s">
        <v>144</v>
      </c>
      <c r="O55" s="30" t="s">
        <v>344</v>
      </c>
    </row>
    <row r="56" spans="1:36">
      <c r="A56" s="31" t="s">
        <v>967</v>
      </c>
      <c r="B56" s="24" t="s">
        <v>16</v>
      </c>
      <c r="C56" s="40" t="s">
        <v>43</v>
      </c>
      <c r="D56" s="8" t="s">
        <v>47</v>
      </c>
      <c r="E56" s="8" t="s">
        <v>48</v>
      </c>
      <c r="F56" s="31" t="s">
        <v>968</v>
      </c>
      <c r="G56" s="23" t="s">
        <v>26</v>
      </c>
      <c r="H56" s="35" t="s">
        <v>22</v>
      </c>
      <c r="I56" s="8" t="s">
        <v>73</v>
      </c>
      <c r="J56" s="8" t="s">
        <v>74</v>
      </c>
      <c r="K56" s="19" t="s">
        <v>417</v>
      </c>
      <c r="L56" s="24" t="s">
        <v>16</v>
      </c>
      <c r="M56" s="37" t="s">
        <v>124</v>
      </c>
      <c r="N56" s="8" t="s">
        <v>234</v>
      </c>
      <c r="O56" s="8" t="s">
        <v>91</v>
      </c>
    </row>
    <row r="57" spans="1:36">
      <c r="A57" s="31" t="s">
        <v>969</v>
      </c>
      <c r="B57" s="28" t="s">
        <v>30</v>
      </c>
      <c r="C57" s="40" t="s">
        <v>43</v>
      </c>
      <c r="D57" s="30" t="s">
        <v>50</v>
      </c>
      <c r="E57" s="30" t="s">
        <v>51</v>
      </c>
      <c r="F57" s="19" t="s">
        <v>332</v>
      </c>
      <c r="G57" s="24" t="s">
        <v>16</v>
      </c>
      <c r="H57" s="37" t="s">
        <v>124</v>
      </c>
      <c r="I57" s="8" t="s">
        <v>333</v>
      </c>
      <c r="J57" s="8" t="s">
        <v>334</v>
      </c>
      <c r="K57" s="22" t="s">
        <v>419</v>
      </c>
      <c r="L57" s="20" t="s">
        <v>21</v>
      </c>
      <c r="M57" s="10" t="s">
        <v>82</v>
      </c>
      <c r="N57" s="8" t="s">
        <v>258</v>
      </c>
      <c r="O57" s="8" t="s">
        <v>420</v>
      </c>
    </row>
    <row r="58" spans="1:36">
      <c r="A58" s="33" t="s">
        <v>240</v>
      </c>
      <c r="B58" s="23" t="s">
        <v>26</v>
      </c>
      <c r="C58" s="10" t="s">
        <v>82</v>
      </c>
      <c r="D58" s="8" t="s">
        <v>241</v>
      </c>
      <c r="E58" s="8" t="s">
        <v>195</v>
      </c>
      <c r="F58" s="19" t="s">
        <v>336</v>
      </c>
      <c r="G58" s="20" t="s">
        <v>21</v>
      </c>
      <c r="H58" s="37" t="s">
        <v>124</v>
      </c>
      <c r="I58" s="8" t="s">
        <v>141</v>
      </c>
      <c r="J58" s="8" t="s">
        <v>337</v>
      </c>
      <c r="K58" s="19" t="s">
        <v>421</v>
      </c>
      <c r="L58" s="28" t="s">
        <v>30</v>
      </c>
      <c r="M58" s="37" t="s">
        <v>124</v>
      </c>
      <c r="N58" s="30" t="s">
        <v>422</v>
      </c>
      <c r="O58" s="30" t="s">
        <v>137</v>
      </c>
    </row>
    <row r="59" spans="1:36">
      <c r="A59" s="19" t="s">
        <v>245</v>
      </c>
      <c r="B59" s="20" t="s">
        <v>21</v>
      </c>
      <c r="C59" s="37" t="s">
        <v>124</v>
      </c>
      <c r="D59" s="8" t="s">
        <v>246</v>
      </c>
      <c r="E59" s="8" t="s">
        <v>247</v>
      </c>
      <c r="F59" s="19" t="s">
        <v>338</v>
      </c>
      <c r="G59" s="23" t="s">
        <v>26</v>
      </c>
      <c r="H59" s="25" t="s">
        <v>140</v>
      </c>
      <c r="I59" s="8" t="s">
        <v>339</v>
      </c>
      <c r="J59" s="8" t="s">
        <v>182</v>
      </c>
      <c r="K59" s="19" t="s">
        <v>423</v>
      </c>
      <c r="L59" s="24" t="s">
        <v>16</v>
      </c>
      <c r="M59" s="21" t="s">
        <v>149</v>
      </c>
      <c r="N59" s="8" t="s">
        <v>424</v>
      </c>
      <c r="O59" s="8" t="s">
        <v>169</v>
      </c>
    </row>
    <row r="60" spans="1:36">
      <c r="A60" s="19" t="s">
        <v>248</v>
      </c>
      <c r="B60" s="28" t="s">
        <v>30</v>
      </c>
      <c r="C60" s="21" t="s">
        <v>149</v>
      </c>
      <c r="D60" s="30" t="s">
        <v>249</v>
      </c>
      <c r="E60" s="30" t="s">
        <v>204</v>
      </c>
      <c r="F60" s="19" t="s">
        <v>340</v>
      </c>
      <c r="G60" s="20" t="s">
        <v>21</v>
      </c>
      <c r="H60" s="37" t="s">
        <v>124</v>
      </c>
      <c r="I60" s="8" t="s">
        <v>341</v>
      </c>
      <c r="J60" s="8" t="s">
        <v>342</v>
      </c>
      <c r="K60" s="19" t="s">
        <v>425</v>
      </c>
      <c r="L60" s="23" t="s">
        <v>26</v>
      </c>
      <c r="M60" s="29" t="s">
        <v>120</v>
      </c>
      <c r="N60" s="8"/>
      <c r="O60" s="8" t="s">
        <v>182</v>
      </c>
    </row>
    <row r="61" spans="1:36">
      <c r="A61" s="31" t="s">
        <v>970</v>
      </c>
      <c r="B61" s="28" t="s">
        <v>30</v>
      </c>
      <c r="C61" s="32" t="s">
        <v>17</v>
      </c>
      <c r="D61" s="30" t="s">
        <v>53</v>
      </c>
      <c r="E61" s="30" t="s">
        <v>54</v>
      </c>
      <c r="F61" s="19" t="s">
        <v>343</v>
      </c>
      <c r="G61" s="28" t="s">
        <v>30</v>
      </c>
      <c r="H61" s="37" t="s">
        <v>124</v>
      </c>
      <c r="I61" s="30" t="s">
        <v>138</v>
      </c>
      <c r="J61" s="30" t="s">
        <v>344</v>
      </c>
    </row>
    <row r="62" spans="1:36">
      <c r="A62" s="19" t="s">
        <v>250</v>
      </c>
      <c r="B62" s="20" t="s">
        <v>21</v>
      </c>
      <c r="C62" s="29" t="s">
        <v>120</v>
      </c>
      <c r="D62" s="8" t="s">
        <v>251</v>
      </c>
      <c r="E62" s="8" t="s">
        <v>252</v>
      </c>
      <c r="F62" s="19" t="s">
        <v>136</v>
      </c>
      <c r="G62" s="28" t="s">
        <v>30</v>
      </c>
      <c r="H62" s="10" t="s">
        <v>82</v>
      </c>
      <c r="I62" s="8" t="s">
        <v>137</v>
      </c>
      <c r="J62" s="8" t="s">
        <v>138</v>
      </c>
    </row>
    <row r="63" spans="1:36">
      <c r="F63" s="19" t="s">
        <v>345</v>
      </c>
      <c r="G63" s="28" t="s">
        <v>30</v>
      </c>
      <c r="H63" s="25" t="s">
        <v>140</v>
      </c>
      <c r="I63" s="30" t="s">
        <v>346</v>
      </c>
      <c r="J63" s="30" t="s">
        <v>347</v>
      </c>
    </row>
  </sheetData>
  <sortState ref="A2:E205">
    <sortCondition ref="A2:A205"/>
  </sortState>
  <mergeCells count="10">
    <mergeCell ref="AK2:AK3"/>
    <mergeCell ref="AK4:AK5"/>
    <mergeCell ref="AL2:AL3"/>
    <mergeCell ref="AL4:AL5"/>
    <mergeCell ref="AM2:AM3"/>
    <mergeCell ref="AM4:AM5"/>
    <mergeCell ref="AN2:AN3"/>
    <mergeCell ref="AN4:AN5"/>
    <mergeCell ref="AO2:AO3"/>
    <mergeCell ref="AO4:AO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F20" sqref="F20"/>
    </sheetView>
  </sheetViews>
  <sheetFormatPr defaultColWidth="9" defaultRowHeight="14.25"/>
  <cols>
    <col min="2" max="2" width="20.5" customWidth="1"/>
    <col min="6" max="6" width="13.4166666666667" customWidth="1"/>
    <col min="14" max="14" width="12" customWidth="1"/>
  </cols>
  <sheetData>
    <row r="1" spans="1:14">
      <c r="A1" t="s">
        <v>971</v>
      </c>
      <c r="B1" t="s">
        <v>972</v>
      </c>
      <c r="C1" t="s">
        <v>973</v>
      </c>
      <c r="D1" t="s">
        <v>974</v>
      </c>
      <c r="E1" t="s">
        <v>975</v>
      </c>
      <c r="F1" t="s">
        <v>976</v>
      </c>
      <c r="G1" t="s">
        <v>977</v>
      </c>
      <c r="H1" t="s">
        <v>978</v>
      </c>
      <c r="I1" t="s">
        <v>979</v>
      </c>
      <c r="J1" t="s">
        <v>980</v>
      </c>
      <c r="K1" t="s">
        <v>981</v>
      </c>
      <c r="L1" t="s">
        <v>982</v>
      </c>
      <c r="N1" t="s">
        <v>983</v>
      </c>
    </row>
    <row r="2" spans="1:14">
      <c r="A2">
        <v>12</v>
      </c>
      <c r="B2">
        <f>A2*876</f>
        <v>10512</v>
      </c>
      <c r="C2">
        <f>B2/6*$N$2*20</f>
        <v>17520</v>
      </c>
      <c r="D2">
        <f>28000-C2</f>
        <v>10480</v>
      </c>
      <c r="E2">
        <f>1400/$N$2*6-B2</f>
        <v>6288</v>
      </c>
      <c r="F2">
        <f>E2/2-40*12</f>
        <v>2664</v>
      </c>
      <c r="G2">
        <f>42000-C2</f>
        <v>24480</v>
      </c>
      <c r="H2">
        <f>2100/$N$2*6-B2</f>
        <v>14688</v>
      </c>
      <c r="I2">
        <f>H2/2-40*12</f>
        <v>6864</v>
      </c>
      <c r="J2">
        <f>60000-C2</f>
        <v>42480</v>
      </c>
      <c r="K2" s="1">
        <f>3000/$N$2*6-B2</f>
        <v>25488</v>
      </c>
      <c r="L2" s="1">
        <f>K2/2-40*12</f>
        <v>12264</v>
      </c>
      <c r="N2" s="2">
        <v>0.5</v>
      </c>
    </row>
    <row r="3" spans="1:14">
      <c r="A3">
        <v>13</v>
      </c>
      <c r="B3">
        <f t="shared" ref="B3:B15" si="0">A3*876</f>
        <v>11388</v>
      </c>
      <c r="C3">
        <f t="shared" ref="C3:C15" si="1">B3/6*$N$2*20</f>
        <v>18980</v>
      </c>
      <c r="D3">
        <f t="shared" ref="D3:D15" si="2">28000-C3</f>
        <v>9020</v>
      </c>
      <c r="E3">
        <f t="shared" ref="E3:E15" si="3">1400/$N$2*6-B3</f>
        <v>5412</v>
      </c>
      <c r="F3">
        <f t="shared" ref="F3:F15" si="4">E3/2-40*12</f>
        <v>2226</v>
      </c>
      <c r="G3">
        <f t="shared" ref="G3:G15" si="5">42000-C3</f>
        <v>23020</v>
      </c>
      <c r="H3">
        <f t="shared" ref="H3:H15" si="6">2100/$N$2*6-B3</f>
        <v>13812</v>
      </c>
      <c r="I3">
        <f t="shared" ref="I3:I15" si="7">H3/2-40*12</f>
        <v>6426</v>
      </c>
      <c r="J3">
        <f t="shared" ref="J3:J15" si="8">60000-C3</f>
        <v>41020</v>
      </c>
      <c r="K3" s="1">
        <f t="shared" ref="K3:K15" si="9">3000/$N$2*6-B3</f>
        <v>24612</v>
      </c>
      <c r="L3" s="1">
        <f t="shared" ref="L3:L15" si="10">K3/2-40*12</f>
        <v>11826</v>
      </c>
    </row>
    <row r="4" spans="1:14">
      <c r="A4">
        <v>14</v>
      </c>
      <c r="B4">
        <f t="shared" si="0"/>
        <v>12264</v>
      </c>
      <c r="C4">
        <f t="shared" si="1"/>
        <v>20440</v>
      </c>
      <c r="D4">
        <f t="shared" si="2"/>
        <v>7560</v>
      </c>
      <c r="E4">
        <f t="shared" si="3"/>
        <v>4536</v>
      </c>
      <c r="F4">
        <f t="shared" si="4"/>
        <v>1788</v>
      </c>
      <c r="G4">
        <f t="shared" si="5"/>
        <v>21560</v>
      </c>
      <c r="H4">
        <f t="shared" si="6"/>
        <v>12936</v>
      </c>
      <c r="I4">
        <f t="shared" si="7"/>
        <v>5988</v>
      </c>
      <c r="J4">
        <f t="shared" si="8"/>
        <v>39560</v>
      </c>
      <c r="K4" s="1">
        <f t="shared" si="9"/>
        <v>23736</v>
      </c>
      <c r="L4" s="1">
        <f t="shared" si="10"/>
        <v>11388</v>
      </c>
    </row>
    <row r="5" spans="1:14">
      <c r="A5">
        <v>15</v>
      </c>
      <c r="B5">
        <f t="shared" si="0"/>
        <v>13140</v>
      </c>
      <c r="C5">
        <f t="shared" si="1"/>
        <v>21900</v>
      </c>
      <c r="D5">
        <f t="shared" si="2"/>
        <v>6100</v>
      </c>
      <c r="E5">
        <f t="shared" si="3"/>
        <v>3660</v>
      </c>
      <c r="F5">
        <f t="shared" si="4"/>
        <v>1350</v>
      </c>
      <c r="G5">
        <f t="shared" si="5"/>
        <v>20100</v>
      </c>
      <c r="H5">
        <f t="shared" si="6"/>
        <v>12060</v>
      </c>
      <c r="I5">
        <f t="shared" si="7"/>
        <v>5550</v>
      </c>
      <c r="J5">
        <f t="shared" si="8"/>
        <v>38100</v>
      </c>
      <c r="K5" s="1">
        <f t="shared" si="9"/>
        <v>22860</v>
      </c>
      <c r="L5" s="1">
        <f t="shared" si="10"/>
        <v>10950</v>
      </c>
    </row>
    <row r="6" spans="1:14">
      <c r="A6">
        <v>16</v>
      </c>
      <c r="B6">
        <f t="shared" si="0"/>
        <v>14016</v>
      </c>
      <c r="C6">
        <f t="shared" si="1"/>
        <v>23360</v>
      </c>
      <c r="D6">
        <f t="shared" si="2"/>
        <v>4640</v>
      </c>
      <c r="E6">
        <f t="shared" si="3"/>
        <v>2784</v>
      </c>
      <c r="F6">
        <f t="shared" si="4"/>
        <v>912</v>
      </c>
      <c r="G6">
        <f t="shared" si="5"/>
        <v>18640</v>
      </c>
      <c r="H6">
        <f t="shared" si="6"/>
        <v>11184</v>
      </c>
      <c r="I6">
        <f t="shared" si="7"/>
        <v>5112</v>
      </c>
      <c r="J6">
        <f t="shared" si="8"/>
        <v>36640</v>
      </c>
      <c r="K6" s="1">
        <f t="shared" si="9"/>
        <v>21984</v>
      </c>
      <c r="L6" s="1">
        <f t="shared" si="10"/>
        <v>10512</v>
      </c>
    </row>
    <row r="7" spans="1:14">
      <c r="A7">
        <v>17</v>
      </c>
      <c r="B7">
        <f t="shared" si="0"/>
        <v>14892</v>
      </c>
      <c r="C7">
        <f t="shared" si="1"/>
        <v>24820</v>
      </c>
      <c r="D7">
        <f t="shared" si="2"/>
        <v>3180</v>
      </c>
      <c r="E7">
        <f t="shared" si="3"/>
        <v>1908</v>
      </c>
      <c r="F7">
        <f t="shared" si="4"/>
        <v>474</v>
      </c>
      <c r="G7">
        <f t="shared" si="5"/>
        <v>17180</v>
      </c>
      <c r="H7">
        <f t="shared" si="6"/>
        <v>10308</v>
      </c>
      <c r="I7">
        <f t="shared" si="7"/>
        <v>4674</v>
      </c>
      <c r="J7">
        <f t="shared" si="8"/>
        <v>35180</v>
      </c>
      <c r="K7" s="1">
        <f t="shared" si="9"/>
        <v>21108</v>
      </c>
      <c r="L7" s="1">
        <f t="shared" si="10"/>
        <v>10074</v>
      </c>
    </row>
    <row r="8" spans="1:14">
      <c r="A8">
        <v>18</v>
      </c>
      <c r="B8">
        <f t="shared" si="0"/>
        <v>15768</v>
      </c>
      <c r="C8">
        <f t="shared" si="1"/>
        <v>26280</v>
      </c>
      <c r="D8">
        <f t="shared" si="2"/>
        <v>1720</v>
      </c>
      <c r="E8">
        <f t="shared" si="3"/>
        <v>1032</v>
      </c>
      <c r="F8">
        <f t="shared" si="4"/>
        <v>36</v>
      </c>
      <c r="G8">
        <f t="shared" si="5"/>
        <v>15720</v>
      </c>
      <c r="H8">
        <f t="shared" si="6"/>
        <v>9432</v>
      </c>
      <c r="I8">
        <f t="shared" si="7"/>
        <v>4236</v>
      </c>
      <c r="J8">
        <f t="shared" si="8"/>
        <v>33720</v>
      </c>
      <c r="K8" s="1">
        <f t="shared" si="9"/>
        <v>20232</v>
      </c>
      <c r="L8" s="1">
        <f t="shared" si="10"/>
        <v>9636</v>
      </c>
    </row>
    <row r="9" spans="1:14">
      <c r="A9">
        <v>19</v>
      </c>
      <c r="B9">
        <f t="shared" si="0"/>
        <v>16644</v>
      </c>
      <c r="C9">
        <f t="shared" si="1"/>
        <v>27740</v>
      </c>
      <c r="D9">
        <f t="shared" si="2"/>
        <v>260</v>
      </c>
      <c r="E9">
        <f t="shared" si="3"/>
        <v>156</v>
      </c>
      <c r="F9">
        <f t="shared" si="4"/>
        <v>-402</v>
      </c>
      <c r="G9">
        <f t="shared" si="5"/>
        <v>14260</v>
      </c>
      <c r="H9">
        <f t="shared" si="6"/>
        <v>8556</v>
      </c>
      <c r="I9">
        <f t="shared" si="7"/>
        <v>3798</v>
      </c>
      <c r="J9">
        <f t="shared" si="8"/>
        <v>32260</v>
      </c>
      <c r="K9" s="1">
        <f t="shared" si="9"/>
        <v>19356</v>
      </c>
      <c r="L9" s="1">
        <f t="shared" si="10"/>
        <v>9198</v>
      </c>
    </row>
    <row r="10" spans="1:14">
      <c r="A10">
        <v>20</v>
      </c>
      <c r="B10">
        <f t="shared" si="0"/>
        <v>17520</v>
      </c>
      <c r="C10">
        <f t="shared" si="1"/>
        <v>29200</v>
      </c>
      <c r="D10">
        <f t="shared" si="2"/>
        <v>-1200</v>
      </c>
      <c r="E10">
        <f t="shared" si="3"/>
        <v>-720</v>
      </c>
      <c r="F10">
        <f t="shared" si="4"/>
        <v>-840</v>
      </c>
      <c r="G10">
        <f t="shared" si="5"/>
        <v>12800</v>
      </c>
      <c r="H10">
        <f t="shared" si="6"/>
        <v>7680</v>
      </c>
      <c r="I10">
        <f t="shared" si="7"/>
        <v>3360</v>
      </c>
      <c r="J10">
        <f t="shared" si="8"/>
        <v>30800</v>
      </c>
      <c r="K10" s="1">
        <f t="shared" si="9"/>
        <v>18480</v>
      </c>
      <c r="L10" s="1">
        <f t="shared" si="10"/>
        <v>8760</v>
      </c>
    </row>
    <row r="11" spans="1:14">
      <c r="A11">
        <v>21</v>
      </c>
      <c r="B11">
        <f t="shared" si="0"/>
        <v>18396</v>
      </c>
      <c r="C11">
        <f t="shared" si="1"/>
        <v>30660</v>
      </c>
      <c r="D11">
        <f t="shared" si="2"/>
        <v>-2660</v>
      </c>
      <c r="E11">
        <f t="shared" si="3"/>
        <v>-1596</v>
      </c>
      <c r="F11">
        <f t="shared" si="4"/>
        <v>-1278</v>
      </c>
      <c r="G11">
        <f t="shared" si="5"/>
        <v>11340</v>
      </c>
      <c r="H11">
        <f t="shared" si="6"/>
        <v>6804</v>
      </c>
      <c r="I11">
        <f t="shared" si="7"/>
        <v>2922</v>
      </c>
      <c r="J11">
        <f t="shared" si="8"/>
        <v>29340</v>
      </c>
      <c r="K11" s="1">
        <f t="shared" si="9"/>
        <v>17604</v>
      </c>
      <c r="L11" s="1">
        <f t="shared" si="10"/>
        <v>8322</v>
      </c>
    </row>
    <row r="12" spans="1:14">
      <c r="A12">
        <v>22</v>
      </c>
      <c r="B12">
        <f t="shared" si="0"/>
        <v>19272</v>
      </c>
      <c r="C12">
        <f t="shared" si="1"/>
        <v>32120</v>
      </c>
      <c r="D12">
        <f t="shared" si="2"/>
        <v>-4120</v>
      </c>
      <c r="E12">
        <f t="shared" si="3"/>
        <v>-2472</v>
      </c>
      <c r="F12">
        <f t="shared" si="4"/>
        <v>-1716</v>
      </c>
      <c r="G12">
        <f t="shared" si="5"/>
        <v>9880</v>
      </c>
      <c r="H12">
        <f t="shared" si="6"/>
        <v>5928</v>
      </c>
      <c r="I12">
        <f t="shared" si="7"/>
        <v>2484</v>
      </c>
      <c r="J12">
        <f t="shared" si="8"/>
        <v>27880</v>
      </c>
      <c r="K12" s="1">
        <f t="shared" si="9"/>
        <v>16728</v>
      </c>
      <c r="L12" s="1">
        <f t="shared" si="10"/>
        <v>7884</v>
      </c>
    </row>
    <row r="13" spans="1:14">
      <c r="A13">
        <v>23</v>
      </c>
      <c r="B13">
        <f t="shared" si="0"/>
        <v>20148</v>
      </c>
      <c r="C13">
        <f t="shared" si="1"/>
        <v>33580</v>
      </c>
      <c r="D13">
        <f t="shared" si="2"/>
        <v>-5580</v>
      </c>
      <c r="E13">
        <f t="shared" si="3"/>
        <v>-3348</v>
      </c>
      <c r="F13">
        <f t="shared" si="4"/>
        <v>-2154</v>
      </c>
      <c r="G13">
        <f t="shared" si="5"/>
        <v>8420</v>
      </c>
      <c r="H13">
        <f t="shared" si="6"/>
        <v>5052</v>
      </c>
      <c r="I13">
        <f t="shared" si="7"/>
        <v>2046</v>
      </c>
      <c r="J13">
        <f t="shared" si="8"/>
        <v>26420</v>
      </c>
      <c r="K13" s="1">
        <f t="shared" si="9"/>
        <v>15852</v>
      </c>
      <c r="L13" s="1">
        <f t="shared" si="10"/>
        <v>7446</v>
      </c>
    </row>
    <row r="14" spans="1:14">
      <c r="A14">
        <v>24</v>
      </c>
      <c r="B14">
        <f t="shared" si="0"/>
        <v>21024</v>
      </c>
      <c r="C14">
        <f t="shared" si="1"/>
        <v>35040</v>
      </c>
      <c r="D14">
        <f t="shared" si="2"/>
        <v>-7040</v>
      </c>
      <c r="E14">
        <f t="shared" si="3"/>
        <v>-4224</v>
      </c>
      <c r="F14">
        <f t="shared" si="4"/>
        <v>-2592</v>
      </c>
      <c r="G14">
        <f t="shared" si="5"/>
        <v>6960</v>
      </c>
      <c r="H14">
        <f t="shared" si="6"/>
        <v>4176</v>
      </c>
      <c r="I14">
        <f t="shared" si="7"/>
        <v>1608</v>
      </c>
      <c r="J14">
        <f t="shared" si="8"/>
        <v>24960</v>
      </c>
      <c r="K14" s="1">
        <f t="shared" si="9"/>
        <v>14976</v>
      </c>
      <c r="L14" s="1">
        <f t="shared" si="10"/>
        <v>7008</v>
      </c>
    </row>
    <row r="15" spans="1:14">
      <c r="A15">
        <v>25</v>
      </c>
      <c r="B15">
        <f t="shared" si="0"/>
        <v>21900</v>
      </c>
      <c r="C15">
        <f t="shared" si="1"/>
        <v>36500</v>
      </c>
      <c r="D15">
        <f t="shared" si="2"/>
        <v>-8500</v>
      </c>
      <c r="E15">
        <f t="shared" si="3"/>
        <v>-5100</v>
      </c>
      <c r="F15">
        <f t="shared" si="4"/>
        <v>-3030</v>
      </c>
      <c r="G15">
        <f t="shared" si="5"/>
        <v>5500</v>
      </c>
      <c r="H15">
        <f t="shared" si="6"/>
        <v>3300</v>
      </c>
      <c r="I15">
        <f t="shared" si="7"/>
        <v>1170</v>
      </c>
      <c r="J15">
        <f t="shared" si="8"/>
        <v>23500</v>
      </c>
      <c r="K15" s="1">
        <f t="shared" si="9"/>
        <v>14100</v>
      </c>
      <c r="L15" s="1">
        <f t="shared" si="10"/>
        <v>6570</v>
      </c>
    </row>
    <row r="16" ht="14" customHeight="1" spans="1:14">
      <c r="D16" s="3" t="s">
        <v>984</v>
      </c>
      <c r="E16" s="3" t="s">
        <v>985</v>
      </c>
      <c r="F16" s="3" t="s">
        <v>986</v>
      </c>
      <c r="G16" s="4" t="s">
        <v>987</v>
      </c>
      <c r="H16" s="4"/>
    </row>
    <row r="17" spans="2:6">
      <c r="B17" s="5" t="s">
        <v>983</v>
      </c>
      <c r="D17" s="3"/>
      <c r="E17" s="3"/>
      <c r="F17" s="3"/>
    </row>
    <row r="18" spans="2:6">
      <c r="B18" s="6">
        <f>N2</f>
        <v>0.5</v>
      </c>
      <c r="D18" s="3"/>
      <c r="E18" s="3"/>
      <c r="F18" s="3"/>
    </row>
  </sheetData>
  <mergeCells count="4">
    <mergeCell ref="G16:H16"/>
    <mergeCell ref="D16:D18"/>
    <mergeCell ref="E16:E18"/>
    <mergeCell ref="F16:F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Sheet8</vt:lpstr>
      <vt:lpstr>祈福收益计算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你猜呀</cp:lastModifiedBy>
  <dcterms:created xsi:type="dcterms:W3CDTF">2021-10-16T08:41:00Z</dcterms:created>
  <dcterms:modified xsi:type="dcterms:W3CDTF">2026-08-18T14:51:18Z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205A74FE5E51498284AEB63750D7DC5E_12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